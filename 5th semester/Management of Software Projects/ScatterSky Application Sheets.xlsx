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asiad\Desktop\"/>
    </mc:Choice>
  </mc:AlternateContent>
  <xr:revisionPtr revIDLastSave="0" documentId="8_{7D48C195-5C97-44AD-8E6F-09CF119152EB}" xr6:coauthVersionLast="47" xr6:coauthVersionMax="47" xr10:uidLastSave="{00000000-0000-0000-0000-000000000000}"/>
  <bookViews>
    <workbookView xWindow="-120" yWindow="-120" windowWidth="38640" windowHeight="21120" firstSheet="3" activeTab="3" xr2:uid="{00000000-000D-0000-FFFF-FFFF00000000}"/>
  </bookViews>
  <sheets>
    <sheet name="Stakeholders" sheetId="1" r:id="rId1"/>
    <sheet name="WBS" sheetId="3" r:id="rId2"/>
    <sheet name="Gantt" sheetId="4" r:id="rId3"/>
    <sheet name="Milestones" sheetId="5" r:id="rId4"/>
    <sheet name="Risk Matrix" sheetId="6" r:id="rId5"/>
    <sheet name="Funds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D9" i="2"/>
  <c r="I49" i="2"/>
  <c r="H68" i="2"/>
  <c r="I68" i="2"/>
  <c r="J68" i="2"/>
  <c r="I62" i="2"/>
  <c r="J62" i="2"/>
  <c r="I59" i="2"/>
  <c r="J59" i="2"/>
  <c r="I56" i="2"/>
  <c r="J56" i="2"/>
  <c r="J49" i="2"/>
  <c r="I45" i="2"/>
  <c r="J45" i="2"/>
  <c r="I37" i="2"/>
  <c r="J37" i="2"/>
  <c r="I29" i="2"/>
  <c r="J29" i="2"/>
  <c r="I24" i="2"/>
  <c r="J24" i="2"/>
  <c r="F21" i="2"/>
  <c r="G21" i="2"/>
  <c r="H21" i="2"/>
  <c r="I21" i="2"/>
  <c r="J21" i="2"/>
  <c r="L76" i="2"/>
  <c r="N76" i="2" s="1"/>
  <c r="L77" i="2"/>
  <c r="N77" i="2" s="1"/>
  <c r="L78" i="2"/>
  <c r="N78" i="2" s="1"/>
  <c r="L75" i="2"/>
  <c r="L70" i="2"/>
  <c r="L71" i="2"/>
  <c r="N71" i="2" s="1"/>
  <c r="L72" i="2"/>
  <c r="N72" i="2" s="1"/>
  <c r="L73" i="2"/>
  <c r="N73" i="2" s="1"/>
  <c r="L69" i="2"/>
  <c r="N69" i="2" s="1"/>
  <c r="L64" i="2"/>
  <c r="N64" i="2" s="1"/>
  <c r="L65" i="2"/>
  <c r="N65" i="2" s="1"/>
  <c r="L66" i="2"/>
  <c r="N66" i="2" s="1"/>
  <c r="L63" i="2"/>
  <c r="N63" i="2" s="1"/>
  <c r="L61" i="2"/>
  <c r="N61" i="2" s="1"/>
  <c r="L60" i="2"/>
  <c r="N60" i="2" s="1"/>
  <c r="L58" i="2"/>
  <c r="N58" i="2" s="1"/>
  <c r="L57" i="2"/>
  <c r="N57" i="2" s="1"/>
  <c r="L52" i="2"/>
  <c r="N52" i="2" s="1"/>
  <c r="L53" i="2"/>
  <c r="N53" i="2" s="1"/>
  <c r="L54" i="2"/>
  <c r="N54" i="2" s="1"/>
  <c r="L51" i="2"/>
  <c r="N51" i="2" s="1"/>
  <c r="L50" i="2"/>
  <c r="N50" i="2" s="1"/>
  <c r="L47" i="2"/>
  <c r="N47" i="2" s="1"/>
  <c r="L46" i="2"/>
  <c r="L42" i="2"/>
  <c r="N42" i="2" s="1"/>
  <c r="L43" i="2"/>
  <c r="N43" i="2" s="1"/>
  <c r="L44" i="2"/>
  <c r="N44" i="2" s="1"/>
  <c r="L41" i="2"/>
  <c r="L39" i="2"/>
  <c r="N39" i="2" s="1"/>
  <c r="L38" i="2"/>
  <c r="N38" i="2" s="1"/>
  <c r="L31" i="2"/>
  <c r="N31" i="2" s="1"/>
  <c r="L32" i="2"/>
  <c r="N32" i="2" s="1"/>
  <c r="L33" i="2"/>
  <c r="N33" i="2" s="1"/>
  <c r="L34" i="2"/>
  <c r="N34" i="2" s="1"/>
  <c r="L35" i="2"/>
  <c r="N35" i="2" s="1"/>
  <c r="L36" i="2"/>
  <c r="N36" i="2" s="1"/>
  <c r="L30" i="2"/>
  <c r="N30" i="2" s="1"/>
  <c r="L20" i="2"/>
  <c r="N20" i="2" s="1"/>
  <c r="L22" i="2"/>
  <c r="N22" i="2" s="1"/>
  <c r="L23" i="2"/>
  <c r="N23" i="2" s="1"/>
  <c r="L25" i="2"/>
  <c r="N25" i="2" s="1"/>
  <c r="L26" i="2"/>
  <c r="N26" i="2" s="1"/>
  <c r="L27" i="2"/>
  <c r="N27" i="2" s="1"/>
  <c r="L19" i="2"/>
  <c r="L11" i="2"/>
  <c r="L12" i="2"/>
  <c r="N12" i="2" s="1"/>
  <c r="L13" i="2"/>
  <c r="N13" i="2" s="1"/>
  <c r="L14" i="2"/>
  <c r="N14" i="2" s="1"/>
  <c r="L15" i="2"/>
  <c r="N15" i="2" s="1"/>
  <c r="L16" i="2"/>
  <c r="N16" i="2" s="1"/>
  <c r="L17" i="2"/>
  <c r="N17" i="2" s="1"/>
  <c r="L10" i="2"/>
  <c r="N10" i="2" s="1"/>
  <c r="M74" i="2"/>
  <c r="M67" i="2"/>
  <c r="M55" i="2"/>
  <c r="M48" i="2"/>
  <c r="M40" i="2"/>
  <c r="M28" i="2"/>
  <c r="M18" i="2"/>
  <c r="G24" i="2"/>
  <c r="G29" i="2"/>
  <c r="G37" i="2"/>
  <c r="G45" i="2"/>
  <c r="G49" i="2"/>
  <c r="G56" i="2"/>
  <c r="G59" i="2"/>
  <c r="G62" i="2"/>
  <c r="G68" i="2"/>
  <c r="E21" i="2"/>
  <c r="E24" i="2"/>
  <c r="E29" i="2"/>
  <c r="E37" i="2"/>
  <c r="E68" i="2"/>
  <c r="E62" i="2"/>
  <c r="E59" i="2"/>
  <c r="E56" i="2"/>
  <c r="E49" i="2"/>
  <c r="E45" i="2"/>
  <c r="F24" i="2"/>
  <c r="H24" i="2"/>
  <c r="F29" i="2"/>
  <c r="H29" i="2"/>
  <c r="F37" i="2"/>
  <c r="H37" i="2"/>
  <c r="F45" i="2"/>
  <c r="H45" i="2"/>
  <c r="F49" i="2"/>
  <c r="H49" i="2"/>
  <c r="F68" i="2"/>
  <c r="F62" i="2"/>
  <c r="H62" i="2"/>
  <c r="F59" i="2"/>
  <c r="H59" i="2"/>
  <c r="F56" i="2"/>
  <c r="H56" i="2"/>
  <c r="D68" i="2"/>
  <c r="D62" i="2"/>
  <c r="D59" i="2"/>
  <c r="D56" i="2"/>
  <c r="D49" i="2"/>
  <c r="D45" i="2"/>
  <c r="D37" i="2"/>
  <c r="D29" i="2"/>
  <c r="D21" i="2"/>
  <c r="D24" i="2"/>
  <c r="N11" i="2"/>
  <c r="M9" i="2"/>
  <c r="H17" i="6"/>
  <c r="H16" i="6"/>
  <c r="H15" i="6"/>
  <c r="H14" i="6"/>
  <c r="H13" i="6"/>
  <c r="H12" i="6"/>
  <c r="H11" i="6"/>
  <c r="H10" i="6"/>
  <c r="H9" i="6"/>
  <c r="H8" i="6"/>
  <c r="P7" i="6"/>
  <c r="O7" i="6"/>
  <c r="N7" i="6"/>
  <c r="M7" i="6"/>
  <c r="P6" i="6"/>
  <c r="O6" i="6"/>
  <c r="N6" i="6"/>
  <c r="M6" i="6"/>
  <c r="H6" i="6"/>
  <c r="P5" i="6"/>
  <c r="O5" i="6"/>
  <c r="N5" i="6"/>
  <c r="M5" i="6"/>
  <c r="S4" i="6"/>
  <c r="P4" i="6"/>
  <c r="H7" i="6" s="1"/>
  <c r="O4" i="6"/>
  <c r="N4" i="6"/>
  <c r="M4" i="6"/>
  <c r="L68" i="2" l="1"/>
  <c r="L67" i="2" s="1"/>
  <c r="N70" i="2"/>
  <c r="L62" i="2"/>
  <c r="N62" i="2" s="1"/>
  <c r="L49" i="2"/>
  <c r="N49" i="2" s="1"/>
  <c r="N48" i="2" s="1"/>
  <c r="L45" i="2"/>
  <c r="L29" i="2"/>
  <c r="N29" i="2" s="1"/>
  <c r="M5" i="2"/>
  <c r="L56" i="2"/>
  <c r="N56" i="2" s="1"/>
  <c r="L59" i="2"/>
  <c r="N59" i="2" s="1"/>
  <c r="N46" i="2"/>
  <c r="N9" i="2"/>
  <c r="L9" i="2"/>
  <c r="L24" i="2"/>
  <c r="N24" i="2" s="1"/>
  <c r="L21" i="2"/>
  <c r="N19" i="2"/>
  <c r="N41" i="2"/>
  <c r="L74" i="2"/>
  <c r="N75" i="2"/>
  <c r="N74" i="2" s="1"/>
  <c r="L37" i="2"/>
  <c r="N68" i="2" l="1"/>
  <c r="N67" i="2" s="1"/>
  <c r="L48" i="2"/>
  <c r="N55" i="2"/>
  <c r="L55" i="2"/>
  <c r="N37" i="2"/>
  <c r="N28" i="2" s="1"/>
  <c r="L28" i="2"/>
  <c r="N21" i="2"/>
  <c r="N18" i="2" s="1"/>
  <c r="L18" i="2"/>
  <c r="L5" i="2" s="1"/>
  <c r="N45" i="2"/>
  <c r="N40" i="2" s="1"/>
  <c r="L40" i="2"/>
  <c r="N5" i="2" l="1"/>
</calcChain>
</file>

<file path=xl/sharedStrings.xml><?xml version="1.0" encoding="utf-8"?>
<sst xmlns="http://schemas.openxmlformats.org/spreadsheetml/2006/main" count="931" uniqueCount="507">
  <si>
    <t>Stakeholder Identification</t>
  </si>
  <si>
    <t>Engagement Matrix</t>
  </si>
  <si>
    <t>Engagement Strategies</t>
  </si>
  <si>
    <t>Communication Matrix</t>
  </si>
  <si>
    <t>Stakeholders</t>
  </si>
  <si>
    <t>Type</t>
  </si>
  <si>
    <t>Role</t>
  </si>
  <si>
    <t>Primary/
secondary</t>
  </si>
  <si>
    <t>Influence</t>
  </si>
  <si>
    <t>Interest</t>
  </si>
  <si>
    <t>Unaware</t>
  </si>
  <si>
    <t>Resistant</t>
  </si>
  <si>
    <t>Netrual</t>
  </si>
  <si>
    <t>Supporting</t>
  </si>
  <si>
    <t>Leading</t>
  </si>
  <si>
    <t>Action Plan</t>
  </si>
  <si>
    <t>Communication Plan</t>
  </si>
  <si>
    <t>Frequency</t>
  </si>
  <si>
    <t>Type of Information</t>
  </si>
  <si>
    <t>Communication Channels</t>
  </si>
  <si>
    <t>International Defense Organizations (NATO)</t>
  </si>
  <si>
    <t>Internal</t>
  </si>
  <si>
    <t>Key</t>
  </si>
  <si>
    <t>Primary</t>
  </si>
  <si>
    <t>High</t>
  </si>
  <si>
    <t xml:space="preserve"> A (actual)</t>
  </si>
  <si>
    <t>D (desired)</t>
  </si>
  <si>
    <t> Conduct regular consultations and provide updates on operational developments.</t>
  </si>
  <si>
    <t>Collaborate to align drone development with NATO's defense standards and strategies.</t>
  </si>
  <si>
    <t>Joint training programs, Share non-sensitive data about the project’s progress</t>
  </si>
  <si>
    <t>Monthly updates, Bi-annual programs</t>
  </si>
  <si>
    <t>Compliance and progress updates</t>
  </si>
  <si>
    <t>Video conferences, whitepaper (in-depth report)</t>
  </si>
  <si>
    <t>Quarterly</t>
  </si>
  <si>
    <t>Government Military Authorities</t>
  </si>
  <si>
    <t>A (actual)
D (desired)</t>
  </si>
  <si>
    <t>Continue detailed updates through monthly meetings and progress reports.</t>
  </si>
  <si>
    <t> Maintain close collaboration and involve in decision-making processes</t>
  </si>
  <si>
    <t xml:space="preserve">  Formal reports, meetings, presentations </t>
  </si>
  <si>
    <t>  Monthly</t>
  </si>
  <si>
    <t>Risk assessments, progress updates, final deliverables</t>
  </si>
  <si>
    <t>Meetings, reports</t>
  </si>
  <si>
    <t>Bi-weekly</t>
  </si>
  <si>
    <t>Drone Operators</t>
  </si>
  <si>
    <t>External</t>
  </si>
  <si>
    <t>Secondary</t>
  </si>
  <si>
    <t> Organize focused discussions and integrate feedback into drone functionality.</t>
  </si>
  <si>
    <t> Gather operational feedback and ensure drones meet their needs</t>
  </si>
  <si>
    <t> Focus groups, training workshops, feedback forms</t>
  </si>
  <si>
    <t> Monthly</t>
  </si>
  <si>
    <t>User manuals, quids</t>
  </si>
  <si>
    <t>Webinars, emails</t>
  </si>
  <si>
    <t>Testers</t>
  </si>
  <si>
    <t>Project Team Member</t>
  </si>
  <si>
    <t>Low</t>
  </si>
  <si>
    <t> </t>
  </si>
  <si>
    <t>A(actual)</t>
  </si>
  <si>
    <t>Implement continuous training programs and early involvement in drone testing</t>
  </si>
  <si>
    <t> Provide continuous training and ensurex usability feedback</t>
  </si>
  <si>
    <t> Training programs, user feedback sessions</t>
  </si>
  <si>
    <t>Bi-monthly</t>
  </si>
  <si>
    <t>Bug reports, test plans, and results</t>
  </si>
  <si>
    <t>Testing software, task management tools</t>
  </si>
  <si>
    <t>Weekly</t>
  </si>
  <si>
    <t>Drone Software Engineers</t>
  </si>
  <si>
    <t>A (actual)</t>
  </si>
  <si>
    <t>Engage in daily standups and 
innovation sessions to enhance involvement.</t>
  </si>
  <si>
    <t> Promote innovation and encourage participation in solution development</t>
  </si>
  <si>
    <t> Daily standups, brainstorming sessions, progress reports</t>
  </si>
  <si>
    <t> Daily/Weekly</t>
  </si>
  <si>
    <t>Technical requirements, design iterations, testing results, and development progress</t>
  </si>
  <si>
    <t>Agile tools, emails, meetings</t>
  </si>
  <si>
    <t>Daily updates during sprints; weekly for overall progress</t>
  </si>
  <si>
    <t>Factory Workers</t>
  </si>
  <si>
    <t>Organize workshops for quality control and gather feedback to improve production.</t>
  </si>
  <si>
    <t> Improve involvement in production and gather feedback</t>
  </si>
  <si>
    <t> Feedback workshops, performance updates</t>
  </si>
  <si>
    <t>Production schedules, safety protocols, and quality updates</t>
  </si>
  <si>
    <t>Notice boards, team meetings</t>
  </si>
  <si>
    <t>Drone Manufacturers (competitors)</t>
  </si>
  <si>
    <t>Monitor market trends and  technology innovations; maintain competitive intelligence.</t>
  </si>
  <si>
    <t> Monitor market trends and advancements</t>
  </si>
  <si>
    <t>Trade shows, competitive analysis</t>
  </si>
  <si>
    <t> Quarterly</t>
  </si>
  <si>
    <t>None. Only monitor activities and address compliance risks</t>
  </si>
  <si>
    <t>N/A</t>
  </si>
  <si>
    <t>International Military Companies</t>
  </si>
  <si>
    <t>Hold quarterly briefings to align expectations and build a strategic partnership.</t>
  </si>
  <si>
    <t> Collaborate to align project goals with international standards</t>
  </si>
  <si>
    <t> Strategy workshops, periodic consultations</t>
  </si>
  <si>
    <t> Bi-annually or as needed</t>
  </si>
  <si>
    <t>Collaboration updates, feature demonstrations, and security compliance</t>
  </si>
  <si>
    <t>Webinars, presentations, formal emails</t>
  </si>
  <si>
    <t>Monthly updates; as-needed during critical stages</t>
  </si>
  <si>
    <t>Drone Piloting Schools</t>
  </si>
  <si>
    <t>Collaborate on curriculum development and offer training access.</t>
  </si>
  <si>
    <t> Collaborate on curriculum development and training</t>
  </si>
  <si>
    <t> Joint planning sessions, feedback on 
training content</t>
  </si>
  <si>
    <t> Bi-annually</t>
  </si>
  <si>
    <t>Training materials and updates on drone systems</t>
  </si>
  <si>
    <t>Workshops, webinars, email newsletters</t>
  </si>
  <si>
    <t>Terrorist states</t>
  </si>
  <si>
    <t> Strengthen security protocols and prevent malicious drone use.</t>
  </si>
  <si>
    <t>  Prevent access to drones and reduce the risk of misuse</t>
  </si>
  <si>
    <t> Strict regulations on drone exports,  Incorporate technology</t>
  </si>
  <si>
    <t> No direct communication</t>
  </si>
  <si>
    <t>Outlaws</t>
  </si>
  <si>
    <t>Strengthen security protocols and prevent malicious drone use.</t>
  </si>
  <si>
    <t> Prevent malicious use and monitor threats</t>
  </si>
  <si>
    <t> Sharing intelligence with law enforcement agencies</t>
  </si>
  <si>
    <t>None—only monitor and report activities</t>
  </si>
  <si>
    <t>Civilians in State-of-War Countries</t>
  </si>
  <si>
    <t>Community</t>
  </si>
  <si>
    <t>Create public awearness 
programs to address privacy and safety concerns</t>
  </si>
  <si>
    <t> Build trust through transparency and address safety concerns</t>
  </si>
  <si>
    <t> Public outreach campaigns, Q&amp;A sessions</t>
  </si>
  <si>
    <t> As needed</t>
  </si>
  <si>
    <t>Information on drone safety and operational transparency</t>
  </si>
  <si>
    <t>Public announcements, media releases, websites</t>
  </si>
  <si>
    <t>As-needed; before major deployments</t>
  </si>
  <si>
    <t>Police Officers</t>
  </si>
  <si>
    <t> A (actual)</t>
  </si>
  <si>
    <t>Conduct workshops to introduce drone usage for law enforcement applications.</t>
  </si>
  <si>
    <t> Introduce drones for law enforcement operations</t>
  </si>
  <si>
    <t> Awareness sessions, operational workshops</t>
  </si>
  <si>
    <t>Operational training, system updates, and post-deployment feedback</t>
  </si>
  <si>
    <t>Workshops, emails, on-site demonstrations</t>
  </si>
  <si>
    <t>Bi-monthly updates:
As needed for trainings</t>
  </si>
  <si>
    <t>Security Guards</t>
  </si>
  <si>
    <t>Provide specialized training on drone-assisted security operations and gather feedback.</t>
  </si>
  <si>
    <t> Train on drone-assisted operations</t>
  </si>
  <si>
    <t> Specialized training sessions, operational feedback</t>
  </si>
  <si>
    <t> Bi-monthly</t>
  </si>
  <si>
    <t>Training on drone usage, maintenance updates, and operational feedback</t>
  </si>
  <si>
    <t>Email newsletters, workshops</t>
  </si>
  <si>
    <t>Business Who Support Military</t>
  </si>
  <si>
    <t>Develop formal partnerships and hold regular business review sessions.</t>
  </si>
  <si>
    <t> Engage in supply chain management and explore partnerships</t>
  </si>
  <si>
    <t> Vendor meetings, joint reviews</t>
  </si>
  <si>
    <t>Updates on project progress, supply chain needs, and technology improvements</t>
  </si>
  <si>
    <t>Business briefings, email newsletters, and webinars</t>
  </si>
  <si>
    <t>ScatterSky</t>
  </si>
  <si>
    <t>Project start: 2024-11-01</t>
  </si>
  <si>
    <t>1 year</t>
  </si>
  <si>
    <t>2 year</t>
  </si>
  <si>
    <t>TASK ID</t>
  </si>
  <si>
    <t>TASK</t>
  </si>
  <si>
    <t>ASSIGNED TO</t>
  </si>
  <si>
    <t>PROGRESS</t>
  </si>
  <si>
    <t>START</t>
  </si>
  <si>
    <t>END</t>
  </si>
  <si>
    <t>1 month</t>
  </si>
  <si>
    <t>2 month</t>
  </si>
  <si>
    <t>3 month</t>
  </si>
  <si>
    <t>4 month</t>
  </si>
  <si>
    <t>5 month</t>
  </si>
  <si>
    <t>6 month</t>
  </si>
  <si>
    <t>7 month</t>
  </si>
  <si>
    <t>8 month</t>
  </si>
  <si>
    <t>9 month</t>
  </si>
  <si>
    <t>10 month</t>
  </si>
  <si>
    <t>11 month</t>
  </si>
  <si>
    <t>12 month</t>
  </si>
  <si>
    <t>Project Initiation</t>
  </si>
  <si>
    <t>1.1.1</t>
  </si>
  <si>
    <t>Define Project Scope</t>
  </si>
  <si>
    <t>Project Manager</t>
  </si>
  <si>
    <t>1.1.2</t>
  </si>
  <si>
    <t>Stakeholder Manager</t>
  </si>
  <si>
    <t>1.1.3</t>
  </si>
  <si>
    <t>Develop Project Charter</t>
  </si>
  <si>
    <t>M 1.2</t>
  </si>
  <si>
    <t>Project Charter Approved</t>
  </si>
  <si>
    <t>Complete</t>
  </si>
  <si>
    <t>◆</t>
  </si>
  <si>
    <t>1.1.4</t>
  </si>
  <si>
    <t>Assemble Project Team</t>
  </si>
  <si>
    <t>1.1.5</t>
  </si>
  <si>
    <t>Market Research</t>
  </si>
  <si>
    <t>Business Analyst</t>
  </si>
  <si>
    <t>1.1.6</t>
  </si>
  <si>
    <t>Risk managment Plan</t>
  </si>
  <si>
    <t>1.1.7</t>
  </si>
  <si>
    <t>Plan Budget</t>
  </si>
  <si>
    <t>Financial Analyst</t>
  </si>
  <si>
    <t>1.1.8</t>
  </si>
  <si>
    <t>Plan Schedule</t>
  </si>
  <si>
    <t>M 1.1</t>
  </si>
  <si>
    <t>Project Kickoff</t>
  </si>
  <si>
    <t>Requirements and Planning</t>
  </si>
  <si>
    <t>1.2.1</t>
  </si>
  <si>
    <t>Sofware Requirements Srecification</t>
  </si>
  <si>
    <t>Requirements Analyst</t>
  </si>
  <si>
    <t>1.2.2</t>
  </si>
  <si>
    <t>Hardware Requirements Specification</t>
  </si>
  <si>
    <t>M 2.1</t>
  </si>
  <si>
    <t>Requirements Document Approved</t>
  </si>
  <si>
    <t>1.2.3.1</t>
  </si>
  <si>
    <t>Identify Regulatory Standards</t>
  </si>
  <si>
    <t>System Architect</t>
  </si>
  <si>
    <t>1.2.3.2</t>
  </si>
  <si>
    <t>Gap Analysis</t>
  </si>
  <si>
    <t>1.2.4.1</t>
  </si>
  <si>
    <t>Blueprints</t>
  </si>
  <si>
    <t>Hardware Engineers</t>
  </si>
  <si>
    <t>M 2.2</t>
  </si>
  <si>
    <t>Blueprint and design approved</t>
  </si>
  <si>
    <t>1.2.4.2</t>
  </si>
  <si>
    <t>Prototype Validation</t>
  </si>
  <si>
    <t>1.2.4.3</t>
  </si>
  <si>
    <t>Software Algorithm Design</t>
  </si>
  <si>
    <t>UI/UX Designer</t>
  </si>
  <si>
    <t>M 2.3</t>
  </si>
  <si>
    <t>System Architecture Finalized</t>
  </si>
  <si>
    <t>Software Development</t>
  </si>
  <si>
    <t>1.3.1.1</t>
  </si>
  <si>
    <t>Autonomous Navigation Algorithms</t>
  </si>
  <si>
    <t>AI Engineer</t>
  </si>
  <si>
    <t>1.3.1.2</t>
  </si>
  <si>
    <t>Obstacle Detection and Avoidance</t>
  </si>
  <si>
    <t>1.3.1.3</t>
  </si>
  <si>
    <t>Communication Systems Development</t>
  </si>
  <si>
    <t>Systems Developer</t>
  </si>
  <si>
    <t>1.3.1.4</t>
  </si>
  <si>
    <t>Develop Real-time Communication Protocols</t>
  </si>
  <si>
    <t xml:space="preserve">Cybersecurity Specialist </t>
  </si>
  <si>
    <t>1.3.1.5</t>
  </si>
  <si>
    <t>UI/UX Design</t>
  </si>
  <si>
    <t>Software Developer</t>
  </si>
  <si>
    <t>1.3.1.6</t>
  </si>
  <si>
    <t>Implement Security Measures Against Hacking</t>
  </si>
  <si>
    <t>1.3.1.7</t>
  </si>
  <si>
    <t>Data Encryption for Communication</t>
  </si>
  <si>
    <t>M 3.1</t>
  </si>
  <si>
    <t>Software Development Complete</t>
  </si>
  <si>
    <t>On Track</t>
  </si>
  <si>
    <t>1.3.2.1</t>
  </si>
  <si>
    <t>Code Reviews and Debugging</t>
  </si>
  <si>
    <t>1.3.2.2</t>
  </si>
  <si>
    <t>Version Control and Documentation</t>
  </si>
  <si>
    <t>M 3.2</t>
  </si>
  <si>
    <t>Quality assurance of the software</t>
  </si>
  <si>
    <t>Scheduled</t>
  </si>
  <si>
    <t>Hardware Development</t>
  </si>
  <si>
    <t>1.4.1</t>
  </si>
  <si>
    <t>Build Initial Drone Body Prototype</t>
  </si>
  <si>
    <t xml:space="preserve">Prototyping Technician </t>
  </si>
  <si>
    <t>M 4.1</t>
  </si>
  <si>
    <t>Hardware Prototype Ready</t>
  </si>
  <si>
    <t>1.4.2</t>
  </si>
  <si>
    <t>Hardware Component Testing</t>
  </si>
  <si>
    <t>1.4.3</t>
  </si>
  <si>
    <t>Integrate Sensors, Cameras and Actuators</t>
  </si>
  <si>
    <t>Hardware Engineer</t>
  </si>
  <si>
    <t>1.4.4</t>
  </si>
  <si>
    <t>Evaluate Battery Life and Power Consuption</t>
  </si>
  <si>
    <t>M 4.2</t>
  </si>
  <si>
    <t>Functionality Evaluated</t>
  </si>
  <si>
    <t>1.4.5.1</t>
  </si>
  <si>
    <t>Refine Aerodynamic Design</t>
  </si>
  <si>
    <t>Sensor Specialist</t>
  </si>
  <si>
    <t>1.4.5.2</t>
  </si>
  <si>
    <t>Optimize Weight for Maximum Efficiency</t>
  </si>
  <si>
    <t>M 4.3</t>
  </si>
  <si>
    <t>Perfomance Optimized</t>
  </si>
  <si>
    <t>Testing</t>
  </si>
  <si>
    <t>1.5.1.1</t>
  </si>
  <si>
    <t>Test Individual Software Modules</t>
  </si>
  <si>
    <t>Flight Test Engineer</t>
  </si>
  <si>
    <t>1.5.1.2</t>
  </si>
  <si>
    <t>Verify Hardware Components</t>
  </si>
  <si>
    <t>Test Engineer</t>
  </si>
  <si>
    <t>M 5.1</t>
  </si>
  <si>
    <t>Unit Testing Complete</t>
  </si>
  <si>
    <t>1.5.2</t>
  </si>
  <si>
    <t>Integration Testing</t>
  </si>
  <si>
    <t>M 5.2</t>
  </si>
  <si>
    <t>Integration Testing Complete</t>
  </si>
  <si>
    <t>1.5.3</t>
  </si>
  <si>
    <t>Performance Testing</t>
  </si>
  <si>
    <t>M 5.3</t>
  </si>
  <si>
    <t>Performance Testing Complete</t>
  </si>
  <si>
    <t>1.5.4</t>
  </si>
  <si>
    <t>Security Testing</t>
  </si>
  <si>
    <t>M 5.4</t>
  </si>
  <si>
    <t>Security Testing Complete</t>
  </si>
  <si>
    <t>M 5.5</t>
  </si>
  <si>
    <t>Testing Complete</t>
  </si>
  <si>
    <t>Manufacturing</t>
  </si>
  <si>
    <t>1.6.1.1</t>
  </si>
  <si>
    <t>Source Required Materials and Components</t>
  </si>
  <si>
    <t>Supply Chain Manager</t>
  </si>
  <si>
    <t>1.6.1.2</t>
  </si>
  <si>
    <t>Verify Supplier Quality Standards</t>
  </si>
  <si>
    <t>1.6.2.1</t>
  </si>
  <si>
    <t>Establish Manufacturing Lines</t>
  </si>
  <si>
    <t>Factory Supervisor</t>
  </si>
  <si>
    <t>M 6.1</t>
  </si>
  <si>
    <t>Manufacturing Workflow Established</t>
  </si>
  <si>
    <t>1.6.2.2</t>
  </si>
  <si>
    <t>Educate Factory Workers on Assembly Procedures</t>
  </si>
  <si>
    <t>M 6.2</t>
  </si>
  <si>
    <t>Completion of education</t>
  </si>
  <si>
    <t>1.6.3.1</t>
  </si>
  <si>
    <t>Assemble Drone Bodies</t>
  </si>
  <si>
    <t>Manufacturing Engineer</t>
  </si>
  <si>
    <t>1.6.3.2</t>
  </si>
  <si>
    <t>Assemble Drone Remote Controls</t>
  </si>
  <si>
    <t>1.6.3.3</t>
  </si>
  <si>
    <t>Install Software and Hardware Components</t>
  </si>
  <si>
    <t>1.6.4</t>
  </si>
  <si>
    <t>Approve Units for Deployment</t>
  </si>
  <si>
    <t xml:space="preserve">Quality Assurance Specialist </t>
  </si>
  <si>
    <t>M 6.3</t>
  </si>
  <si>
    <t xml:space="preserve"> Manufacture Complete</t>
  </si>
  <si>
    <t>Deployment</t>
  </si>
  <si>
    <t>1.7.1.1</t>
  </si>
  <si>
    <t>Define Deployment Strategy</t>
  </si>
  <si>
    <t>Deployment Engineer</t>
  </si>
  <si>
    <t>1.7.1.2</t>
  </si>
  <si>
    <t>Allocate Deployment Resources</t>
  </si>
  <si>
    <t>M 7.1</t>
  </si>
  <si>
    <t>Deployment Plan Finalized</t>
  </si>
  <si>
    <t>1.7.2</t>
  </si>
  <si>
    <t>Install Final Software and Hardware</t>
  </si>
  <si>
    <t>1.7.3</t>
  </si>
  <si>
    <t>Prepare Maintenance and Support Manuals</t>
  </si>
  <si>
    <t>IT Support Specialist</t>
  </si>
  <si>
    <t>M 7.2</t>
  </si>
  <si>
    <t>Manuals and guides prepared</t>
  </si>
  <si>
    <t>1.7.4</t>
  </si>
  <si>
    <t>Open Drones for Sale</t>
  </si>
  <si>
    <t xml:space="preserve">Logistics Coordinator </t>
  </si>
  <si>
    <t>M 7.3</t>
  </si>
  <si>
    <t>System Deployed to End Users</t>
  </si>
  <si>
    <t>Post-deployment</t>
  </si>
  <si>
    <t>1.8.1</t>
  </si>
  <si>
    <t>Schedule Regular Maintenance</t>
  </si>
  <si>
    <t>Support Technician</t>
  </si>
  <si>
    <t>M 8.1</t>
  </si>
  <si>
    <t>Continuous Improvement Plan Established</t>
  </si>
  <si>
    <t>1.8.2</t>
  </si>
  <si>
    <t>Collect User Feedback</t>
  </si>
  <si>
    <t>1.8.3</t>
  </si>
  <si>
    <t>Bug Fixes</t>
  </si>
  <si>
    <t>Maintenance Engineer</t>
  </si>
  <si>
    <t>1.8.4</t>
  </si>
  <si>
    <t>Summarize Project Outcomes</t>
  </si>
  <si>
    <t>M 8.2</t>
  </si>
  <si>
    <t>Final Project Report Delivered</t>
  </si>
  <si>
    <t>Phase</t>
  </si>
  <si>
    <t>ID</t>
  </si>
  <si>
    <t>Name</t>
  </si>
  <si>
    <t>Date</t>
  </si>
  <si>
    <t xml:space="preserve">Description </t>
  </si>
  <si>
    <t>Status</t>
  </si>
  <si>
    <t>Formal start of the project with stakeholder alignment on goals, budget, and timeline</t>
  </si>
  <si>
    <t>Approval of the project charter, confirming scope, objectives, and resource allocation</t>
  </si>
  <si>
    <t>Requirements Gathering</t>
  </si>
  <si>
    <t>Formal approval of the software and hardware requirements specification</t>
  </si>
  <si>
    <t xml:space="preserve">Formal approval of the blueprint and design </t>
  </si>
  <si>
    <t>Completion of the high-level system design, including hardware-software integration plans</t>
  </si>
  <si>
    <t>Completion of software module coding, including navigation, obstacle detection, and control systems</t>
  </si>
  <si>
    <t>Completion of the code reviews and debugging, versions control and documentation</t>
  </si>
  <si>
    <t>A functional prototype of the drone, including integrated hardware components, ready for testing</t>
  </si>
  <si>
    <t>Battery life and power consumption evaluated, Sensors, Cameras and Actuators are integrated and ready for assembly</t>
  </si>
  <si>
    <t>Performance Optimized</t>
  </si>
  <si>
    <t>Design and functions optimized and ready for testing</t>
  </si>
  <si>
    <t>Verification of individual software modules and hardware components</t>
  </si>
  <si>
    <t>Validation of integrated hardware and software systems</t>
  </si>
  <si>
    <t>Successful flight tests, including range, obstacle detection, and payload management testing</t>
  </si>
  <si>
    <t>Validation of security software</t>
  </si>
  <si>
    <t>Full system verification, ensuring readiness for deployment and manufacture</t>
  </si>
  <si>
    <t>Manufacture</t>
  </si>
  <si>
    <t>Finalization of manufacturing workflows, including resource and logistics planning</t>
  </si>
  <si>
    <t>First butch of workers educated and ready to work</t>
  </si>
  <si>
    <t>Completion of full-scale production of drones as per project requirements</t>
  </si>
  <si>
    <t>Confirmation of deployment strategy, resources, and timelines</t>
  </si>
  <si>
    <t>Completion of the manuals and guides for drone and app usage</t>
  </si>
  <si>
    <t>Successful deployment of drones and related systems to intended users</t>
  </si>
  <si>
    <t>Completion of the schedule for maintenance</t>
  </si>
  <si>
    <t>Completion of the bug fixes and summarization of the first launch of the product</t>
  </si>
  <si>
    <t>Risk Assessment</t>
  </si>
  <si>
    <r>
      <rPr>
        <vertAlign val="subscript"/>
        <sz val="11"/>
        <color rgb="FF000000"/>
        <rFont val="Aptos Narrow"/>
        <scheme val="minor"/>
      </rPr>
      <t>Impact</t>
    </r>
    <r>
      <rPr>
        <sz val="11"/>
        <color rgb="FFC0F1C8"/>
        <rFont val="Aptos Narrow"/>
        <scheme val="minor"/>
      </rPr>
      <t xml:space="preserve">  </t>
    </r>
    <r>
      <rPr>
        <sz val="11"/>
        <color rgb="FF000000"/>
        <rFont val="Aptos Narrow"/>
        <scheme val="minor"/>
      </rPr>
      <t xml:space="preserve">           </t>
    </r>
    <r>
      <rPr>
        <vertAlign val="superscript"/>
        <sz val="11"/>
        <color rgb="FF000000"/>
        <rFont val="Aptos Narrow"/>
        <scheme val="minor"/>
      </rPr>
      <t>Probability</t>
    </r>
  </si>
  <si>
    <t>Unlikely</t>
  </si>
  <si>
    <t>Rare</t>
  </si>
  <si>
    <t>Possible</t>
  </si>
  <si>
    <t>Likely</t>
  </si>
  <si>
    <t>Certain</t>
  </si>
  <si>
    <t>Probability</t>
  </si>
  <si>
    <t>Date Last Updated:</t>
  </si>
  <si>
    <t>14.12.2024</t>
  </si>
  <si>
    <t>Very low</t>
  </si>
  <si>
    <t>Impact</t>
  </si>
  <si>
    <t>Risk Matrix</t>
  </si>
  <si>
    <t>Score</t>
  </si>
  <si>
    <t>Risk ID</t>
  </si>
  <si>
    <t>Risk</t>
  </si>
  <si>
    <t>Risk Descriprion</t>
  </si>
  <si>
    <t>Strategy</t>
  </si>
  <si>
    <t xml:space="preserve">Impact </t>
  </si>
  <si>
    <t>Medium</t>
  </si>
  <si>
    <t>Technology Challenges</t>
  </si>
  <si>
    <t>Integration issues between hardware and software components</t>
  </si>
  <si>
    <t>Perform early proof-of-concept testing for challenging technologies. Involve technical experts and consultants to address complex integration challenges</t>
  </si>
  <si>
    <t>Cybersecurity Threats</t>
  </si>
  <si>
    <t>Potential vulnerabilities in drone systems that could lead to data breaches or hijacking</t>
  </si>
  <si>
    <t>Implement encryption protocols and firewalls to secure systems. Conduct regular penetration testing (white hacking) and cybersecurity audit</t>
  </si>
  <si>
    <t>Very high</t>
  </si>
  <si>
    <t>Performance Issues</t>
  </si>
  <si>
    <t>Failure to meet speed, stability, or payload capacity expectations during testing</t>
  </si>
  <si>
    <t>Conduct rigorous stress testing and performance benchmarks during development. Build a modular design that allows for scalable performance improvements</t>
  </si>
  <si>
    <t>Resource Shortages</t>
  </si>
  <si>
    <t>Unavailability of skilled personnel, raw materials, or critical components</t>
  </si>
  <si>
    <t>Establish strong vendor agreements with flexibility for unexpected shortages</t>
  </si>
  <si>
    <t>Key Personnel Dependency</t>
  </si>
  <si>
    <t>Loss of critical team members impacting project continuity</t>
  </si>
  <si>
    <t>Identify critical personnel and document their knowledge in shared repositories. Develop succession plans and assign secondary team members for essential roles</t>
  </si>
  <si>
    <t>Delays</t>
  </si>
  <si>
    <t>Missed deadlines due to unforeseen challenges in design, manufacturing, or testing</t>
  </si>
  <si>
    <t>Monitor project progress closely using milestone tracking and dashboards. Prepare a contingency plan to redistribute tasks or reallocate resources in case of delays</t>
  </si>
  <si>
    <t>Testing Overruns</t>
  </si>
  <si>
    <t>Extended testing cycles caused by recurring system failures</t>
  </si>
  <si>
    <t>Automate repetitive test cases using testing tools. Allocate dedicated resources for both manual and automated testing to avoid bottlenecks</t>
  </si>
  <si>
    <t>Budget Overruns</t>
  </si>
  <si>
    <t>Increased costs due to scope changes or unforeseen technical challenges</t>
  </si>
  <si>
    <t>Regularly review and adjust budgets in response to project changes. Identify cost-saving opportunities, such as outsourcing non-critical task</t>
  </si>
  <si>
    <t>Vendor Cost Fluctuations</t>
  </si>
  <si>
    <t>Unexpected price increases for components or services</t>
  </si>
  <si>
    <t>Negotiate fixed-price contracts with key vendors to minimize unpredictability. Track market trends to anticipate and mitigate price fluctuations</t>
  </si>
  <si>
    <t>Geopolitical Factors</t>
  </si>
  <si>
    <t>International trade tensions or conflicts affecting supply chain reliability</t>
  </si>
  <si>
    <t>Diversify suppliers geographically to reduce dependency on politically volatile regions. Maintain an inventory buffer for critical components</t>
  </si>
  <si>
    <t>Competition</t>
  </si>
  <si>
    <t>Emergence of more advanced or cost-effective solutions from competitors</t>
  </si>
  <si>
    <t>Continuously monitor competitors’ products and market strategies. Emphasize unique selling points and innovation in project deliverables</t>
  </si>
  <si>
    <t>Manufacturing Defects</t>
  </si>
  <si>
    <t>Errors during production impacting quality or functionality</t>
  </si>
  <si>
    <t>Implement strict quality control measures and inspections during production. Establish a feedback loop between production teams and design engineers</t>
  </si>
  <si>
    <t>Project Budget</t>
  </si>
  <si>
    <t>Total</t>
  </si>
  <si>
    <t>BUDGET</t>
  </si>
  <si>
    <t>ACTUAL</t>
  </si>
  <si>
    <t>Under(Over)</t>
  </si>
  <si>
    <t>Contingency fund</t>
  </si>
  <si>
    <t>Labor</t>
  </si>
  <si>
    <t>Materials</t>
  </si>
  <si>
    <t>Fixed Costs</t>
  </si>
  <si>
    <t>WBS</t>
  </si>
  <si>
    <t>Task</t>
  </si>
  <si>
    <t>Hrs</t>
  </si>
  <si>
    <t>Rate</t>
  </si>
  <si>
    <t>Units</t>
  </si>
  <si>
    <t>$/Unit</t>
  </si>
  <si>
    <t>Procurement</t>
  </si>
  <si>
    <t>Travel</t>
  </si>
  <si>
    <t>Other</t>
  </si>
  <si>
    <t>Budget</t>
  </si>
  <si>
    <t>Actual</t>
  </si>
  <si>
    <t>[ Level 1 Category ]</t>
  </si>
  <si>
    <t>Sofware Requirements Specification</t>
  </si>
  <si>
    <t>1.2.3</t>
  </si>
  <si>
    <t>Regulatory and Compliance Documentation</t>
  </si>
  <si>
    <t xml:space="preserve">  Identify Regulatory Standards</t>
  </si>
  <si>
    <t xml:space="preserve">  Gap Analysis</t>
  </si>
  <si>
    <t>1.2.4</t>
  </si>
  <si>
    <t>Design</t>
  </si>
  <si>
    <t xml:space="preserve">  Blueprints</t>
  </si>
  <si>
    <t xml:space="preserve">  Prototype Validation</t>
  </si>
  <si>
    <t xml:space="preserve">  Software Algorithm Design</t>
  </si>
  <si>
    <t>1.3.1</t>
  </si>
  <si>
    <t>Development of Core Features</t>
  </si>
  <si>
    <t xml:space="preserve">  Autonomous Navigation Algorithms</t>
  </si>
  <si>
    <t xml:space="preserve">  Obstacle Detection and Avoidance</t>
  </si>
  <si>
    <t xml:space="preserve">  Communication Systems Development</t>
  </si>
  <si>
    <t xml:space="preserve">  Develop Real-time Communication Protocols</t>
  </si>
  <si>
    <t xml:space="preserve">  UI/UX Design</t>
  </si>
  <si>
    <t xml:space="preserve">  Implement Security Measures Against Hacking</t>
  </si>
  <si>
    <t xml:space="preserve">  Data Encryption for Communication</t>
  </si>
  <si>
    <t>1.3.2</t>
  </si>
  <si>
    <t>Quality Assurance</t>
  </si>
  <si>
    <t xml:space="preserve">  Code Reviews and Debugging</t>
  </si>
  <si>
    <t xml:space="preserve">  Version Control and Documentation</t>
  </si>
  <si>
    <t>1.4.5</t>
  </si>
  <si>
    <t>Performance Optimization</t>
  </si>
  <si>
    <t xml:space="preserve">  Refine Aerodynamic Design</t>
  </si>
  <si>
    <t xml:space="preserve">  Optimize Weight for Maximum Efficiency</t>
  </si>
  <si>
    <t>1.5.1</t>
  </si>
  <si>
    <t>Unit Testing</t>
  </si>
  <si>
    <t>1.6.1</t>
  </si>
  <si>
    <t>Supply Chain Managment</t>
  </si>
  <si>
    <t xml:space="preserve">  Source Required Materials and Components</t>
  </si>
  <si>
    <t xml:space="preserve">  Verify Supplier Quality Standards</t>
  </si>
  <si>
    <t>1.6.2</t>
  </si>
  <si>
    <t>Production Process Setup</t>
  </si>
  <si>
    <t xml:space="preserve">  Establish Manufacturing Lines</t>
  </si>
  <si>
    <t xml:space="preserve">  Educate Factory Workers on Assembly Procedures</t>
  </si>
  <si>
    <t>1.6.3</t>
  </si>
  <si>
    <t>Drone Assembly</t>
  </si>
  <si>
    <t xml:space="preserve">  Assemble Drone Bodies</t>
  </si>
  <si>
    <t xml:space="preserve">  Assemble Drone Remote Controls</t>
  </si>
  <si>
    <t xml:space="preserve">  Install Software and Hardware Components</t>
  </si>
  <si>
    <t>1.7.1</t>
  </si>
  <si>
    <t>Deployment Planning</t>
  </si>
  <si>
    <t xml:space="preserve">  Define Deployment Strategy</t>
  </si>
  <si>
    <t xml:space="preserve">  Allocate Deployment Resources</t>
  </si>
  <si>
    <t xml:space="preserve">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</si>
</sst>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_-&quot;US$&quot;* #,##0.00_-;\-&quot;US$&quot;* #,##0.00_-;_-&quot;US$&quot;* &quot;-&quot;??_-;_-@_-"/>
    <numFmt numFmtId="166" formatCode="yyyy\-mm\-dd;@"/>
  </numFmts>
  <fonts count="4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charset val="1"/>
    </font>
    <font>
      <sz val="11"/>
      <color theme="1"/>
      <name val="Arial"/>
      <charset val="1"/>
    </font>
    <font>
      <u/>
      <sz val="11"/>
      <color theme="10"/>
      <name val="Aptos Narrow"/>
      <family val="2"/>
      <scheme val="minor"/>
    </font>
    <font>
      <b/>
      <sz val="40"/>
      <color rgb="FF1363DF"/>
      <name val="Arial Black"/>
      <family val="2"/>
    </font>
    <font>
      <sz val="10"/>
      <name val="Arial"/>
      <family val="2"/>
    </font>
    <font>
      <sz val="11"/>
      <color rgb="FF000000"/>
      <name val="Arial"/>
      <family val="2"/>
    </font>
    <font>
      <b/>
      <sz val="16"/>
      <color rgb="FF1363DF"/>
      <name val="Arial Black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b/>
      <sz val="12"/>
      <color rgb="FF000000"/>
      <name val="Arial"/>
      <family val="2"/>
    </font>
    <font>
      <sz val="11"/>
      <name val="Arial"/>
      <family val="2"/>
    </font>
    <font>
      <b/>
      <sz val="12"/>
      <color rgb="FF000000"/>
      <name val="Arial"/>
    </font>
    <font>
      <sz val="10"/>
      <color rgb="FF000000"/>
      <name val="Arial"/>
    </font>
    <font>
      <b/>
      <sz val="40"/>
      <color rgb="FFB3B3FF"/>
      <name val="Arial Black"/>
    </font>
    <font>
      <b/>
      <sz val="16"/>
      <color rgb="FFB3B3FF"/>
      <name val="Arial"/>
    </font>
    <font>
      <sz val="11"/>
      <color rgb="FF000000"/>
      <name val="Aptos Narrow"/>
      <charset val="1"/>
    </font>
    <font>
      <b/>
      <sz val="10"/>
      <color rgb="FF000000"/>
      <name val="Arial"/>
    </font>
    <font>
      <sz val="11"/>
      <color rgb="FF242424"/>
      <name val="Aptos Narrow"/>
      <charset val="1"/>
    </font>
    <font>
      <b/>
      <sz val="11"/>
      <color rgb="FF000000"/>
      <name val="Aptos Narrow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rgb="FF000000"/>
      <name val="Aptos Narrow"/>
      <scheme val="minor"/>
    </font>
    <font>
      <sz val="11"/>
      <color rgb="FFC0F1C8"/>
      <name val="Aptos Narrow"/>
      <scheme val="minor"/>
    </font>
    <font>
      <sz val="11"/>
      <color rgb="FF000000"/>
      <name val="Aptos Narrow"/>
      <scheme val="minor"/>
    </font>
    <font>
      <vertAlign val="superscript"/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20"/>
      <color rgb="FF595959"/>
      <name val="Arial"/>
      <family val="2"/>
    </font>
    <font>
      <b/>
      <sz val="14"/>
      <color rgb="FF6B0C00"/>
      <name val="Arial"/>
      <family val="2"/>
    </font>
    <font>
      <sz val="7"/>
      <color rgb="FF666666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rgb="FF000000"/>
      <name val="Calibri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  <charset val="204"/>
    </font>
    <font>
      <sz val="10"/>
      <name val="Arial"/>
    </font>
  </fonts>
  <fills count="2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rgb="FF6528F7"/>
      </patternFill>
    </fill>
    <fill>
      <patternFill patternType="solid">
        <fgColor rgb="FFF0F0FF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DBDBFF"/>
        <bgColor indexed="64"/>
      </patternFill>
    </fill>
    <fill>
      <patternFill patternType="solid">
        <fgColor rgb="FFD1D1FF"/>
        <bgColor indexed="64"/>
      </patternFill>
    </fill>
    <fill>
      <patternFill patternType="solid">
        <fgColor rgb="FFCACAFC"/>
        <bgColor indexed="64"/>
      </patternFill>
    </fill>
    <fill>
      <patternFill patternType="solid">
        <fgColor rgb="FFBDBDFF"/>
        <bgColor indexed="64"/>
      </patternFill>
    </fill>
    <fill>
      <patternFill patternType="solid">
        <fgColor rgb="FFB3B3FF"/>
        <bgColor indexed="64"/>
      </patternFill>
    </fill>
    <fill>
      <patternFill patternType="solid">
        <fgColor rgb="FFAAAAFD"/>
        <bgColor indexed="64"/>
      </patternFill>
    </fill>
    <fill>
      <patternFill patternType="solid">
        <fgColor rgb="FFC2C2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3E3E3"/>
        <bgColor rgb="FF000000"/>
      </patternFill>
    </fill>
    <fill>
      <patternFill patternType="solid">
        <fgColor rgb="FFC8C8C8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E5E5FF"/>
      </left>
      <right/>
      <top style="thin">
        <color rgb="FFE5E5FF"/>
      </top>
      <bottom style="thin">
        <color rgb="FFE5E5FF"/>
      </bottom>
      <diagonal/>
    </border>
    <border>
      <left/>
      <right/>
      <top style="thin">
        <color rgb="FFE5E5FF"/>
      </top>
      <bottom style="thin">
        <color rgb="FFE5E5FF"/>
      </bottom>
      <diagonal/>
    </border>
    <border>
      <left/>
      <right style="thin">
        <color rgb="FFE5E5FF"/>
      </right>
      <top style="thin">
        <color rgb="FFE5E5FF"/>
      </top>
      <bottom style="thin">
        <color rgb="FFE5E5FF"/>
      </bottom>
      <diagonal/>
    </border>
    <border>
      <left style="thin">
        <color rgb="FFE5E5FF"/>
      </left>
      <right/>
      <top style="thin">
        <color rgb="FFE5E5FF"/>
      </top>
      <bottom/>
      <diagonal/>
    </border>
    <border>
      <left/>
      <right/>
      <top style="thin">
        <color rgb="FFE5E5FF"/>
      </top>
      <bottom/>
      <diagonal/>
    </border>
    <border>
      <left/>
      <right style="thin">
        <color rgb="FFE5E5FF"/>
      </right>
      <top style="thin">
        <color rgb="FFE5E5FF"/>
      </top>
      <bottom/>
      <diagonal/>
    </border>
    <border>
      <left style="thin">
        <color rgb="FFE5E5FF"/>
      </left>
      <right/>
      <top/>
      <bottom style="thin">
        <color rgb="FFE5E5FF"/>
      </bottom>
      <diagonal/>
    </border>
    <border>
      <left/>
      <right/>
      <top/>
      <bottom style="thin">
        <color rgb="FFE5E5FF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theme="1"/>
      </bottom>
      <diagonal/>
    </border>
    <border>
      <left/>
      <right style="thin">
        <color rgb="FF808080"/>
      </right>
      <top/>
      <bottom style="thin">
        <color theme="1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DBDBFF"/>
      </left>
      <right/>
      <top style="thin">
        <color rgb="FFDBDBFF"/>
      </top>
      <bottom style="thin">
        <color rgb="FFDBDBFF"/>
      </bottom>
      <diagonal/>
    </border>
    <border>
      <left/>
      <right/>
      <top style="thin">
        <color rgb="FFDBDBFF"/>
      </top>
      <bottom style="thin">
        <color rgb="FFDBDBFF"/>
      </bottom>
      <diagonal/>
    </border>
    <border>
      <left/>
      <right style="thin">
        <color rgb="FFDBDBFF"/>
      </right>
      <top style="thin">
        <color rgb="FFDBDBFF"/>
      </top>
      <bottom style="thin">
        <color rgb="FFDBDBFF"/>
      </bottom>
      <diagonal/>
    </border>
    <border>
      <left style="thin">
        <color rgb="FFDBDBFF"/>
      </left>
      <right/>
      <top style="thin">
        <color rgb="FFDBDBFF"/>
      </top>
      <bottom/>
      <diagonal/>
    </border>
    <border>
      <left/>
      <right/>
      <top style="thin">
        <color rgb="FFDBDBFF"/>
      </top>
      <bottom/>
      <diagonal/>
    </border>
    <border>
      <left/>
      <right style="thin">
        <color rgb="FFDBDBFF"/>
      </right>
      <top style="thin">
        <color rgb="FFDBDBFF"/>
      </top>
      <bottom/>
      <diagonal/>
    </border>
    <border>
      <left style="thin">
        <color rgb="FFDBDBFF"/>
      </left>
      <right/>
      <top/>
      <bottom/>
      <diagonal/>
    </border>
    <border>
      <left style="thin">
        <color rgb="FFDBDBFF"/>
      </left>
      <right/>
      <top/>
      <bottom style="thin">
        <color rgb="FFDBDBFF"/>
      </bottom>
      <diagonal/>
    </border>
    <border>
      <left/>
      <right/>
      <top/>
      <bottom style="thin">
        <color rgb="FFDBDBFF"/>
      </bottom>
      <diagonal/>
    </border>
    <border>
      <left/>
      <right/>
      <top style="thin">
        <color rgb="FFCACAFC"/>
      </top>
      <bottom style="thin">
        <color rgb="FFCACAFC"/>
      </bottom>
      <diagonal/>
    </border>
    <border>
      <left style="thin">
        <color rgb="FFCACAFC"/>
      </left>
      <right/>
      <top style="thin">
        <color rgb="FFCACAFC"/>
      </top>
      <bottom style="thin">
        <color rgb="FFCACAFC"/>
      </bottom>
      <diagonal/>
    </border>
    <border>
      <left/>
      <right style="thin">
        <color rgb="FFCACAFC"/>
      </right>
      <top style="thin">
        <color rgb="FFCACAFC"/>
      </top>
      <bottom style="thin">
        <color rgb="FFCACAFC"/>
      </bottom>
      <diagonal/>
    </border>
    <border>
      <left/>
      <right/>
      <top style="thin">
        <color rgb="FFCACAFC"/>
      </top>
      <bottom/>
      <diagonal/>
    </border>
    <border>
      <left style="thin">
        <color rgb="FFD1D1FF"/>
      </left>
      <right/>
      <top style="thin">
        <color rgb="FFD1D1FF"/>
      </top>
      <bottom style="thin">
        <color rgb="FFD1D1FF"/>
      </bottom>
      <diagonal/>
    </border>
    <border>
      <left/>
      <right/>
      <top style="thin">
        <color rgb="FFD1D1FF"/>
      </top>
      <bottom style="thin">
        <color rgb="FFD1D1FF"/>
      </bottom>
      <diagonal/>
    </border>
    <border>
      <left/>
      <right style="thin">
        <color rgb="FFD1D1FF"/>
      </right>
      <top style="thin">
        <color rgb="FFD1D1FF"/>
      </top>
      <bottom style="thin">
        <color rgb="FFD1D1FF"/>
      </bottom>
      <diagonal/>
    </border>
    <border>
      <left style="thin">
        <color rgb="FFD1D1FF"/>
      </left>
      <right/>
      <top style="thin">
        <color rgb="FFD1D1FF"/>
      </top>
      <bottom/>
      <diagonal/>
    </border>
    <border>
      <left/>
      <right/>
      <top style="thin">
        <color rgb="FFD1D1FF"/>
      </top>
      <bottom/>
      <diagonal/>
    </border>
    <border>
      <left/>
      <right style="thin">
        <color rgb="FFD1D1FF"/>
      </right>
      <top style="thin">
        <color rgb="FFD1D1FF"/>
      </top>
      <bottom/>
      <diagonal/>
    </border>
    <border>
      <left style="thin">
        <color rgb="FFD1D1FF"/>
      </left>
      <right/>
      <top/>
      <bottom style="thin">
        <color rgb="FFD1D1FF"/>
      </bottom>
      <diagonal/>
    </border>
    <border>
      <left/>
      <right/>
      <top/>
      <bottom style="thin">
        <color rgb="FFD1D1FF"/>
      </bottom>
      <diagonal/>
    </border>
    <border>
      <left/>
      <right style="thin">
        <color rgb="FFD1D1FF"/>
      </right>
      <top/>
      <bottom style="thin">
        <color rgb="FFD1D1FF"/>
      </bottom>
      <diagonal/>
    </border>
    <border>
      <left style="thin">
        <color rgb="FFCACAFC"/>
      </left>
      <right/>
      <top style="thin">
        <color rgb="FFCACAFC"/>
      </top>
      <bottom/>
      <diagonal/>
    </border>
    <border>
      <left/>
      <right style="thin">
        <color rgb="FFCACAFC"/>
      </right>
      <top style="thin">
        <color rgb="FFCACAFC"/>
      </top>
      <bottom/>
      <diagonal/>
    </border>
    <border>
      <left/>
      <right/>
      <top/>
      <bottom style="thin">
        <color rgb="FFC2C2FF"/>
      </bottom>
      <diagonal/>
    </border>
    <border>
      <left style="thin">
        <color rgb="FFC2C2FF"/>
      </left>
      <right/>
      <top/>
      <bottom style="thin">
        <color rgb="FFC2C2FF"/>
      </bottom>
      <diagonal/>
    </border>
    <border>
      <left/>
      <right style="thin">
        <color rgb="FFC2C2FF"/>
      </right>
      <top/>
      <bottom style="thin">
        <color rgb="FFC2C2FF"/>
      </bottom>
      <diagonal/>
    </border>
    <border>
      <left style="thin">
        <color rgb="FFF0F0FF"/>
      </left>
      <right/>
      <top style="thin">
        <color rgb="FFF0F0FF"/>
      </top>
      <bottom style="thin">
        <color rgb="FFF0F0FF"/>
      </bottom>
      <diagonal/>
    </border>
    <border>
      <left/>
      <right/>
      <top style="thin">
        <color rgb="FFF0F0FF"/>
      </top>
      <bottom style="thin">
        <color rgb="FFF0F0FF"/>
      </bottom>
      <diagonal/>
    </border>
    <border>
      <left/>
      <right style="thin">
        <color rgb="FFF0F0FF"/>
      </right>
      <top style="thin">
        <color rgb="FFF0F0FF"/>
      </top>
      <bottom style="thin">
        <color rgb="FFF0F0FF"/>
      </bottom>
      <diagonal/>
    </border>
    <border>
      <left style="thin">
        <color rgb="FFF0F0FF"/>
      </left>
      <right/>
      <top style="thin">
        <color rgb="FFF0F0FF"/>
      </top>
      <bottom/>
      <diagonal/>
    </border>
    <border>
      <left/>
      <right/>
      <top style="thin">
        <color rgb="FFF0F0FF"/>
      </top>
      <bottom/>
      <diagonal/>
    </border>
    <border>
      <left/>
      <right style="thin">
        <color rgb="FFF0F0FF"/>
      </right>
      <top style="thin">
        <color rgb="FFF0F0FF"/>
      </top>
      <bottom/>
      <diagonal/>
    </border>
    <border>
      <left style="thin">
        <color rgb="FFF0F0FF"/>
      </left>
      <right/>
      <top/>
      <bottom/>
      <diagonal/>
    </border>
    <border>
      <left/>
      <right style="thin">
        <color rgb="FFF0F0FF"/>
      </right>
      <top/>
      <bottom/>
      <diagonal/>
    </border>
    <border>
      <left/>
      <right style="thin">
        <color theme="1" tint="4.9989318521683403E-2"/>
      </right>
      <top/>
      <bottom/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1" tint="4.9989318521683403E-2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1" tint="4.9989318521683403E-2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1" tint="4.9989318521683403E-2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/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rgb="FF000000"/>
      </right>
      <top style="thin">
        <color indexed="64"/>
      </top>
      <bottom style="thin">
        <color theme="0" tint="-0.34998626667073579"/>
      </bottom>
      <diagonal/>
    </border>
    <border>
      <left/>
      <right/>
      <top/>
      <bottom style="thin">
        <color rgb="FFF0F0F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165" fontId="40" fillId="0" borderId="0" applyFont="0" applyFill="0" applyBorder="0" applyAlignment="0" applyProtection="0"/>
  </cellStyleXfs>
  <cellXfs count="381">
    <xf numFmtId="0" fontId="0" fillId="0" borderId="0" xfId="0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2" xfId="0" applyFont="1" applyBorder="1" applyAlignment="1">
      <alignment horizontal="left" wrapText="1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6" xfId="0" applyFont="1" applyFill="1" applyBorder="1" applyAlignment="1">
      <alignment horizontal="center" wrapText="1"/>
    </xf>
    <xf numFmtId="0" fontId="1" fillId="0" borderId="6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/>
    </xf>
    <xf numFmtId="0" fontId="2" fillId="0" borderId="8" xfId="0" applyFont="1" applyBorder="1" applyAlignment="1">
      <alignment readingOrder="1"/>
    </xf>
    <xf numFmtId="0" fontId="0" fillId="0" borderId="0" xfId="0" applyAlignment="1">
      <alignment horizontal="center"/>
    </xf>
    <xf numFmtId="0" fontId="2" fillId="0" borderId="0" xfId="0" applyFont="1" applyAlignment="1">
      <alignment readingOrder="1"/>
    </xf>
    <xf numFmtId="0" fontId="2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/>
    <xf numFmtId="0" fontId="4" fillId="0" borderId="0" xfId="1" applyBorder="1" applyAlignment="1"/>
    <xf numFmtId="0" fontId="14" fillId="0" borderId="0" xfId="0" applyFont="1"/>
    <xf numFmtId="0" fontId="7" fillId="0" borderId="19" xfId="0" applyFont="1" applyBorder="1"/>
    <xf numFmtId="0" fontId="8" fillId="0" borderId="0" xfId="0" applyFont="1"/>
    <xf numFmtId="0" fontId="13" fillId="7" borderId="0" xfId="0" applyFont="1" applyFill="1"/>
    <xf numFmtId="0" fontId="9" fillId="7" borderId="0" xfId="0" applyFont="1" applyFill="1"/>
    <xf numFmtId="0" fontId="6" fillId="7" borderId="0" xfId="0" applyFont="1" applyFill="1"/>
    <xf numFmtId="0" fontId="13" fillId="8" borderId="0" xfId="0" applyFont="1" applyFill="1"/>
    <xf numFmtId="0" fontId="9" fillId="8" borderId="0" xfId="0" applyFont="1" applyFill="1"/>
    <xf numFmtId="0" fontId="6" fillId="8" borderId="0" xfId="0" applyFont="1" applyFill="1"/>
    <xf numFmtId="0" fontId="13" fillId="9" borderId="0" xfId="0" applyFont="1" applyFill="1"/>
    <xf numFmtId="0" fontId="9" fillId="9" borderId="0" xfId="0" applyFont="1" applyFill="1"/>
    <xf numFmtId="0" fontId="6" fillId="9" borderId="0" xfId="0" applyFont="1" applyFill="1"/>
    <xf numFmtId="0" fontId="13" fillId="10" borderId="0" xfId="0" applyFont="1" applyFill="1"/>
    <xf numFmtId="0" fontId="9" fillId="10" borderId="0" xfId="0" applyFont="1" applyFill="1"/>
    <xf numFmtId="0" fontId="6" fillId="10" borderId="0" xfId="0" applyFont="1" applyFill="1"/>
    <xf numFmtId="0" fontId="9" fillId="6" borderId="22" xfId="0" applyFont="1" applyFill="1" applyBorder="1"/>
    <xf numFmtId="0" fontId="9" fillId="6" borderId="23" xfId="0" applyFont="1" applyFill="1" applyBorder="1"/>
    <xf numFmtId="9" fontId="6" fillId="6" borderId="23" xfId="0" applyNumberFormat="1" applyFont="1" applyFill="1" applyBorder="1"/>
    <xf numFmtId="0" fontId="9" fillId="6" borderId="25" xfId="0" applyFont="1" applyFill="1" applyBorder="1"/>
    <xf numFmtId="0" fontId="9" fillId="6" borderId="26" xfId="0" applyFont="1" applyFill="1" applyBorder="1"/>
    <xf numFmtId="9" fontId="6" fillId="6" borderId="26" xfId="0" applyNumberFormat="1" applyFont="1" applyFill="1" applyBorder="1"/>
    <xf numFmtId="0" fontId="9" fillId="6" borderId="28" xfId="0" applyFont="1" applyFill="1" applyBorder="1"/>
    <xf numFmtId="0" fontId="9" fillId="6" borderId="29" xfId="0" applyFont="1" applyFill="1" applyBorder="1"/>
    <xf numFmtId="0" fontId="15" fillId="7" borderId="0" xfId="0" applyFont="1" applyFill="1"/>
    <xf numFmtId="0" fontId="12" fillId="4" borderId="32" xfId="0" applyFont="1" applyFill="1" applyBorder="1"/>
    <xf numFmtId="0" fontId="12" fillId="4" borderId="33" xfId="0" applyFont="1" applyFill="1" applyBorder="1"/>
    <xf numFmtId="9" fontId="6" fillId="6" borderId="29" xfId="0" applyNumberFormat="1" applyFont="1" applyFill="1" applyBorder="1"/>
    <xf numFmtId="0" fontId="7" fillId="0" borderId="36" xfId="0" applyFont="1" applyBorder="1"/>
    <xf numFmtId="166" fontId="9" fillId="6" borderId="26" xfId="0" applyNumberFormat="1" applyFont="1" applyFill="1" applyBorder="1"/>
    <xf numFmtId="0" fontId="9" fillId="7" borderId="37" xfId="0" applyFont="1" applyFill="1" applyBorder="1"/>
    <xf numFmtId="0" fontId="9" fillId="7" borderId="38" xfId="0" applyFont="1" applyFill="1" applyBorder="1"/>
    <xf numFmtId="9" fontId="6" fillId="7" borderId="38" xfId="0" applyNumberFormat="1" applyFont="1" applyFill="1" applyBorder="1"/>
    <xf numFmtId="0" fontId="9" fillId="7" borderId="40" xfId="0" applyFont="1" applyFill="1" applyBorder="1"/>
    <xf numFmtId="0" fontId="9" fillId="7" borderId="41" xfId="0" applyFont="1" applyFill="1" applyBorder="1"/>
    <xf numFmtId="9" fontId="6" fillId="7" borderId="41" xfId="0" applyNumberFormat="1" applyFont="1" applyFill="1" applyBorder="1"/>
    <xf numFmtId="0" fontId="9" fillId="7" borderId="43" xfId="0" applyFont="1" applyFill="1" applyBorder="1"/>
    <xf numFmtId="9" fontId="6" fillId="7" borderId="0" xfId="0" applyNumberFormat="1" applyFont="1" applyFill="1"/>
    <xf numFmtId="0" fontId="9" fillId="7" borderId="44" xfId="0" applyFont="1" applyFill="1" applyBorder="1"/>
    <xf numFmtId="0" fontId="9" fillId="7" borderId="45" xfId="0" applyFont="1" applyFill="1" applyBorder="1"/>
    <xf numFmtId="9" fontId="6" fillId="7" borderId="45" xfId="0" applyNumberFormat="1" applyFont="1" applyFill="1" applyBorder="1"/>
    <xf numFmtId="166" fontId="9" fillId="7" borderId="41" xfId="0" applyNumberFormat="1" applyFont="1" applyFill="1" applyBorder="1"/>
    <xf numFmtId="0" fontId="14" fillId="0" borderId="0" xfId="0" applyFont="1" applyAlignment="1">
      <alignment horizontal="center"/>
    </xf>
    <xf numFmtId="9" fontId="16" fillId="7" borderId="41" xfId="0" applyNumberFormat="1" applyFont="1" applyFill="1" applyBorder="1"/>
    <xf numFmtId="0" fontId="9" fillId="8" borderId="50" xfId="0" applyFont="1" applyFill="1" applyBorder="1"/>
    <xf numFmtId="0" fontId="9" fillId="8" borderId="51" xfId="0" applyFont="1" applyFill="1" applyBorder="1"/>
    <xf numFmtId="9" fontId="6" fillId="8" borderId="51" xfId="0" applyNumberFormat="1" applyFont="1" applyFill="1" applyBorder="1"/>
    <xf numFmtId="0" fontId="9" fillId="8" borderId="53" xfId="0" applyFont="1" applyFill="1" applyBorder="1"/>
    <xf numFmtId="0" fontId="9" fillId="8" borderId="54" xfId="0" applyFont="1" applyFill="1" applyBorder="1"/>
    <xf numFmtId="9" fontId="6" fillId="8" borderId="54" xfId="0" applyNumberFormat="1" applyFont="1" applyFill="1" applyBorder="1"/>
    <xf numFmtId="0" fontId="9" fillId="8" borderId="56" xfId="0" applyFont="1" applyFill="1" applyBorder="1"/>
    <xf numFmtId="0" fontId="9" fillId="8" borderId="57" xfId="0" applyFont="1" applyFill="1" applyBorder="1"/>
    <xf numFmtId="9" fontId="6" fillId="8" borderId="57" xfId="0" applyNumberFormat="1" applyFont="1" applyFill="1" applyBorder="1"/>
    <xf numFmtId="0" fontId="9" fillId="9" borderId="47" xfId="0" applyFont="1" applyFill="1" applyBorder="1"/>
    <xf numFmtId="0" fontId="9" fillId="9" borderId="46" xfId="0" applyFont="1" applyFill="1" applyBorder="1"/>
    <xf numFmtId="9" fontId="6" fillId="9" borderId="46" xfId="0" applyNumberFormat="1" applyFont="1" applyFill="1" applyBorder="1"/>
    <xf numFmtId="0" fontId="9" fillId="9" borderId="59" xfId="0" applyFont="1" applyFill="1" applyBorder="1"/>
    <xf numFmtId="0" fontId="9" fillId="9" borderId="49" xfId="0" applyFont="1" applyFill="1" applyBorder="1"/>
    <xf numFmtId="9" fontId="6" fillId="9" borderId="49" xfId="0" applyNumberFormat="1" applyFont="1" applyFill="1" applyBorder="1"/>
    <xf numFmtId="0" fontId="9" fillId="11" borderId="0" xfId="0" applyFont="1" applyFill="1"/>
    <xf numFmtId="0" fontId="15" fillId="11" borderId="0" xfId="0" applyFont="1" applyFill="1"/>
    <xf numFmtId="0" fontId="0" fillId="11" borderId="22" xfId="0" applyFill="1" applyBorder="1"/>
    <xf numFmtId="0" fontId="0" fillId="11" borderId="23" xfId="0" applyFill="1" applyBorder="1"/>
    <xf numFmtId="0" fontId="0" fillId="13" borderId="0" xfId="0" applyFill="1"/>
    <xf numFmtId="0" fontId="15" fillId="13" borderId="0" xfId="0" applyFont="1" applyFill="1"/>
    <xf numFmtId="0" fontId="9" fillId="14" borderId="0" xfId="0" applyFont="1" applyFill="1"/>
    <xf numFmtId="0" fontId="15" fillId="14" borderId="0" xfId="0" applyFont="1" applyFill="1"/>
    <xf numFmtId="0" fontId="0" fillId="12" borderId="0" xfId="0" applyFill="1"/>
    <xf numFmtId="0" fontId="15" fillId="12" borderId="0" xfId="0" applyFont="1" applyFill="1"/>
    <xf numFmtId="0" fontId="0" fillId="10" borderId="50" xfId="0" applyFill="1" applyBorder="1"/>
    <xf numFmtId="0" fontId="0" fillId="10" borderId="51" xfId="0" applyFill="1" applyBorder="1"/>
    <xf numFmtId="0" fontId="0" fillId="10" borderId="53" xfId="0" applyFill="1" applyBorder="1"/>
    <xf numFmtId="0" fontId="0" fillId="10" borderId="54" xfId="0" applyFill="1" applyBorder="1"/>
    <xf numFmtId="0" fontId="0" fillId="10" borderId="56" xfId="0" applyFill="1" applyBorder="1"/>
    <xf numFmtId="0" fontId="0" fillId="10" borderId="57" xfId="0" applyFill="1" applyBorder="1"/>
    <xf numFmtId="0" fontId="0" fillId="10" borderId="62" xfId="0" applyFill="1" applyBorder="1"/>
    <xf numFmtId="0" fontId="0" fillId="10" borderId="61" xfId="0" applyFill="1" applyBorder="1"/>
    <xf numFmtId="0" fontId="0" fillId="14" borderId="37" xfId="0" applyFill="1" applyBorder="1"/>
    <xf numFmtId="0" fontId="0" fillId="14" borderId="38" xfId="0" applyFill="1" applyBorder="1"/>
    <xf numFmtId="0" fontId="0" fillId="14" borderId="40" xfId="0" applyFill="1" applyBorder="1"/>
    <xf numFmtId="0" fontId="0" fillId="14" borderId="41" xfId="0" applyFill="1" applyBorder="1"/>
    <xf numFmtId="0" fontId="0" fillId="14" borderId="56" xfId="0" applyFill="1" applyBorder="1"/>
    <xf numFmtId="0" fontId="0" fillId="14" borderId="57" xfId="0" applyFill="1" applyBorder="1"/>
    <xf numFmtId="0" fontId="0" fillId="11" borderId="25" xfId="0" applyFill="1" applyBorder="1"/>
    <xf numFmtId="0" fontId="0" fillId="11" borderId="26" xfId="0" applyFill="1" applyBorder="1"/>
    <xf numFmtId="0" fontId="0" fillId="12" borderId="64" xfId="0" applyFill="1" applyBorder="1"/>
    <xf numFmtId="0" fontId="0" fillId="12" borderId="65" xfId="0" applyFill="1" applyBorder="1"/>
    <xf numFmtId="0" fontId="0" fillId="12" borderId="67" xfId="0" applyFill="1" applyBorder="1"/>
    <xf numFmtId="0" fontId="0" fillId="12" borderId="68" xfId="0" applyFill="1" applyBorder="1"/>
    <xf numFmtId="0" fontId="0" fillId="12" borderId="70" xfId="0" applyFill="1" applyBorder="1"/>
    <xf numFmtId="0" fontId="7" fillId="0" borderId="73" xfId="0" applyFont="1" applyBorder="1"/>
    <xf numFmtId="9" fontId="0" fillId="10" borderId="54" xfId="0" applyNumberFormat="1" applyFill="1" applyBorder="1"/>
    <xf numFmtId="9" fontId="0" fillId="10" borderId="51" xfId="0" applyNumberFormat="1" applyFill="1" applyBorder="1"/>
    <xf numFmtId="9" fontId="0" fillId="10" borderId="57" xfId="0" applyNumberFormat="1" applyFill="1" applyBorder="1"/>
    <xf numFmtId="9" fontId="0" fillId="10" borderId="61" xfId="0" applyNumberFormat="1" applyFill="1" applyBorder="1"/>
    <xf numFmtId="9" fontId="0" fillId="14" borderId="41" xfId="0" applyNumberFormat="1" applyFill="1" applyBorder="1"/>
    <xf numFmtId="9" fontId="0" fillId="14" borderId="38" xfId="0" applyNumberFormat="1" applyFill="1" applyBorder="1"/>
    <xf numFmtId="9" fontId="0" fillId="14" borderId="57" xfId="0" applyNumberFormat="1" applyFill="1" applyBorder="1"/>
    <xf numFmtId="9" fontId="0" fillId="11" borderId="26" xfId="0" applyNumberFormat="1" applyFill="1" applyBorder="1"/>
    <xf numFmtId="9" fontId="0" fillId="11" borderId="23" xfId="0" applyNumberFormat="1" applyFill="1" applyBorder="1"/>
    <xf numFmtId="9" fontId="0" fillId="12" borderId="68" xfId="0" applyNumberFormat="1" applyFill="1" applyBorder="1"/>
    <xf numFmtId="9" fontId="0" fillId="12" borderId="65" xfId="0" applyNumberFormat="1" applyFill="1" applyBorder="1"/>
    <xf numFmtId="9" fontId="0" fillId="12" borderId="0" xfId="0" applyNumberFormat="1" applyFill="1"/>
    <xf numFmtId="0" fontId="0" fillId="7" borderId="74" xfId="0" applyFill="1" applyBorder="1"/>
    <xf numFmtId="0" fontId="0" fillId="0" borderId="74" xfId="0" applyBorder="1"/>
    <xf numFmtId="0" fontId="0" fillId="0" borderId="75" xfId="0" applyBorder="1"/>
    <xf numFmtId="0" fontId="0" fillId="7" borderId="76" xfId="0" applyFill="1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7" borderId="79" xfId="0" applyFill="1" applyBorder="1"/>
    <xf numFmtId="0" fontId="0" fillId="8" borderId="75" xfId="0" applyFill="1" applyBorder="1"/>
    <xf numFmtId="0" fontId="0" fillId="8" borderId="74" xfId="0" applyFill="1" applyBorder="1"/>
    <xf numFmtId="0" fontId="0" fillId="8" borderId="76" xfId="0" applyFill="1" applyBorder="1"/>
    <xf numFmtId="0" fontId="0" fillId="0" borderId="79" xfId="0" applyBorder="1"/>
    <xf numFmtId="0" fontId="0" fillId="8" borderId="77" xfId="0" applyFill="1" applyBorder="1"/>
    <xf numFmtId="0" fontId="0" fillId="8" borderId="78" xfId="0" applyFill="1" applyBorder="1"/>
    <xf numFmtId="166" fontId="9" fillId="8" borderId="54" xfId="0" applyNumberFormat="1" applyFont="1" applyFill="1" applyBorder="1"/>
    <xf numFmtId="166" fontId="9" fillId="8" borderId="55" xfId="0" applyNumberFormat="1" applyFont="1" applyFill="1" applyBorder="1"/>
    <xf numFmtId="166" fontId="9" fillId="8" borderId="51" xfId="0" applyNumberFormat="1" applyFont="1" applyFill="1" applyBorder="1"/>
    <xf numFmtId="166" fontId="9" fillId="8" borderId="52" xfId="0" applyNumberFormat="1" applyFont="1" applyFill="1" applyBorder="1"/>
    <xf numFmtId="166" fontId="9" fillId="8" borderId="57" xfId="0" applyNumberFormat="1" applyFont="1" applyFill="1" applyBorder="1"/>
    <xf numFmtId="166" fontId="9" fillId="8" borderId="58" xfId="0" applyNumberFormat="1" applyFont="1" applyFill="1" applyBorder="1"/>
    <xf numFmtId="0" fontId="0" fillId="9" borderId="74" xfId="0" applyFill="1" applyBorder="1"/>
    <xf numFmtId="0" fontId="0" fillId="6" borderId="77" xfId="0" applyFill="1" applyBorder="1"/>
    <xf numFmtId="0" fontId="0" fillId="6" borderId="74" xfId="0" applyFill="1" applyBorder="1"/>
    <xf numFmtId="0" fontId="0" fillId="6" borderId="75" xfId="0" applyFill="1" applyBorder="1"/>
    <xf numFmtId="166" fontId="9" fillId="9" borderId="49" xfId="0" applyNumberFormat="1" applyFont="1" applyFill="1" applyBorder="1"/>
    <xf numFmtId="166" fontId="9" fillId="9" borderId="60" xfId="0" applyNumberFormat="1" applyFont="1" applyFill="1" applyBorder="1"/>
    <xf numFmtId="166" fontId="9" fillId="9" borderId="46" xfId="0" applyNumberFormat="1" applyFont="1" applyFill="1" applyBorder="1"/>
    <xf numFmtId="166" fontId="9" fillId="9" borderId="48" xfId="0" applyNumberFormat="1" applyFont="1" applyFill="1" applyBorder="1"/>
    <xf numFmtId="166" fontId="0" fillId="10" borderId="54" xfId="0" applyNumberFormat="1" applyFill="1" applyBorder="1"/>
    <xf numFmtId="166" fontId="0" fillId="10" borderId="55" xfId="0" applyNumberFormat="1" applyFill="1" applyBorder="1"/>
    <xf numFmtId="166" fontId="0" fillId="10" borderId="51" xfId="0" applyNumberFormat="1" applyFill="1" applyBorder="1"/>
    <xf numFmtId="166" fontId="0" fillId="10" borderId="52" xfId="0" applyNumberFormat="1" applyFill="1" applyBorder="1"/>
    <xf numFmtId="166" fontId="0" fillId="10" borderId="57" xfId="0" applyNumberFormat="1" applyFill="1" applyBorder="1"/>
    <xf numFmtId="166" fontId="0" fillId="10" borderId="58" xfId="0" applyNumberFormat="1" applyFill="1" applyBorder="1"/>
    <xf numFmtId="166" fontId="0" fillId="10" borderId="61" xfId="0" applyNumberFormat="1" applyFill="1" applyBorder="1"/>
    <xf numFmtId="166" fontId="0" fillId="10" borderId="63" xfId="0" applyNumberFormat="1" applyFill="1" applyBorder="1"/>
    <xf numFmtId="0" fontId="0" fillId="6" borderId="76" xfId="0" applyFill="1" applyBorder="1"/>
    <xf numFmtId="0" fontId="0" fillId="9" borderId="76" xfId="0" applyFill="1" applyBorder="1"/>
    <xf numFmtId="0" fontId="0" fillId="6" borderId="79" xfId="0" applyFill="1" applyBorder="1"/>
    <xf numFmtId="0" fontId="0" fillId="10" borderId="74" xfId="0" applyFill="1" applyBorder="1"/>
    <xf numFmtId="0" fontId="0" fillId="6" borderId="78" xfId="0" applyFill="1" applyBorder="1"/>
    <xf numFmtId="166" fontId="0" fillId="14" borderId="41" xfId="0" applyNumberFormat="1" applyFill="1" applyBorder="1"/>
    <xf numFmtId="166" fontId="0" fillId="14" borderId="42" xfId="0" applyNumberFormat="1" applyFill="1" applyBorder="1"/>
    <xf numFmtId="166" fontId="0" fillId="14" borderId="38" xfId="0" applyNumberFormat="1" applyFill="1" applyBorder="1"/>
    <xf numFmtId="166" fontId="0" fillId="14" borderId="39" xfId="0" applyNumberFormat="1" applyFill="1" applyBorder="1"/>
    <xf numFmtId="166" fontId="0" fillId="14" borderId="57" xfId="0" applyNumberFormat="1" applyFill="1" applyBorder="1"/>
    <xf numFmtId="166" fontId="0" fillId="14" borderId="58" xfId="0" applyNumberFormat="1" applyFill="1" applyBorder="1"/>
    <xf numFmtId="166" fontId="0" fillId="11" borderId="26" xfId="0" applyNumberFormat="1" applyFill="1" applyBorder="1"/>
    <xf numFmtId="166" fontId="0" fillId="11" borderId="27" xfId="0" applyNumberFormat="1" applyFill="1" applyBorder="1"/>
    <xf numFmtId="166" fontId="0" fillId="11" borderId="23" xfId="0" applyNumberFormat="1" applyFill="1" applyBorder="1"/>
    <xf numFmtId="166" fontId="0" fillId="11" borderId="24" xfId="0" applyNumberFormat="1" applyFill="1" applyBorder="1"/>
    <xf numFmtId="166" fontId="0" fillId="12" borderId="68" xfId="0" applyNumberFormat="1" applyFill="1" applyBorder="1"/>
    <xf numFmtId="166" fontId="0" fillId="12" borderId="69" xfId="0" applyNumberFormat="1" applyFill="1" applyBorder="1"/>
    <xf numFmtId="166" fontId="0" fillId="12" borderId="65" xfId="0" applyNumberFormat="1" applyFill="1" applyBorder="1"/>
    <xf numFmtId="166" fontId="0" fillId="12" borderId="66" xfId="0" applyNumberFormat="1" applyFill="1" applyBorder="1"/>
    <xf numFmtId="166" fontId="0" fillId="12" borderId="0" xfId="0" applyNumberFormat="1" applyFill="1"/>
    <xf numFmtId="166" fontId="0" fillId="12" borderId="71" xfId="0" applyNumberFormat="1" applyFill="1" applyBorder="1"/>
    <xf numFmtId="0" fontId="0" fillId="0" borderId="16" xfId="0" applyBorder="1" applyAlignment="1">
      <alignment vertical="center" wrapText="1"/>
    </xf>
    <xf numFmtId="0" fontId="19" fillId="0" borderId="0" xfId="0" applyFont="1"/>
    <xf numFmtId="166" fontId="0" fillId="0" borderId="9" xfId="0" applyNumberFormat="1" applyBorder="1" applyAlignment="1">
      <alignment horizontal="center" vertical="center" wrapText="1"/>
    </xf>
    <xf numFmtId="166" fontId="0" fillId="0" borderId="16" xfId="0" applyNumberFormat="1" applyBorder="1" applyAlignment="1">
      <alignment horizontal="center" vertical="center" wrapText="1"/>
    </xf>
    <xf numFmtId="0" fontId="0" fillId="0" borderId="80" xfId="0" applyBorder="1" applyAlignment="1">
      <alignment vertical="center" wrapText="1"/>
    </xf>
    <xf numFmtId="166" fontId="0" fillId="0" borderId="80" xfId="0" applyNumberFormat="1" applyBorder="1" applyAlignment="1">
      <alignment horizontal="center" vertical="center" wrapText="1"/>
    </xf>
    <xf numFmtId="0" fontId="0" fillId="3" borderId="80" xfId="0" applyFill="1" applyBorder="1"/>
    <xf numFmtId="166" fontId="9" fillId="7" borderId="38" xfId="0" applyNumberFormat="1" applyFont="1" applyFill="1" applyBorder="1"/>
    <xf numFmtId="166" fontId="9" fillId="7" borderId="39" xfId="0" applyNumberFormat="1" applyFont="1" applyFill="1" applyBorder="1"/>
    <xf numFmtId="9" fontId="16" fillId="7" borderId="0" xfId="0" applyNumberFormat="1" applyFont="1" applyFill="1"/>
    <xf numFmtId="166" fontId="9" fillId="7" borderId="0" xfId="0" applyNumberFormat="1" applyFont="1" applyFill="1"/>
    <xf numFmtId="0" fontId="20" fillId="7" borderId="40" xfId="0" applyFont="1" applyFill="1" applyBorder="1"/>
    <xf numFmtId="0" fontId="20" fillId="7" borderId="37" xfId="0" applyFont="1" applyFill="1" applyBorder="1"/>
    <xf numFmtId="0" fontId="20" fillId="7" borderId="44" xfId="0" applyFont="1" applyFill="1" applyBorder="1"/>
    <xf numFmtId="0" fontId="20" fillId="6" borderId="28" xfId="0" applyFont="1" applyFill="1" applyBorder="1"/>
    <xf numFmtId="0" fontId="21" fillId="0" borderId="0" xfId="0" applyFont="1"/>
    <xf numFmtId="0" fontId="20" fillId="8" borderId="56" xfId="0" applyFont="1" applyFill="1" applyBorder="1"/>
    <xf numFmtId="0" fontId="20" fillId="9" borderId="59" xfId="0" applyFont="1" applyFill="1" applyBorder="1"/>
    <xf numFmtId="0" fontId="6" fillId="6" borderId="26" xfId="0" applyFont="1" applyFill="1" applyBorder="1" applyAlignment="1">
      <alignment horizontal="right"/>
    </xf>
    <xf numFmtId="0" fontId="16" fillId="7" borderId="38" xfId="0" applyFont="1" applyFill="1" applyBorder="1" applyAlignment="1">
      <alignment horizontal="right"/>
    </xf>
    <xf numFmtId="0" fontId="6" fillId="8" borderId="57" xfId="0" applyFont="1" applyFill="1" applyBorder="1" applyAlignment="1">
      <alignment horizontal="right"/>
    </xf>
    <xf numFmtId="0" fontId="6" fillId="9" borderId="49" xfId="0" applyFont="1" applyFill="1" applyBorder="1" applyAlignment="1">
      <alignment horizontal="right"/>
    </xf>
    <xf numFmtId="0" fontId="22" fillId="10" borderId="53" xfId="0" applyFont="1" applyFill="1" applyBorder="1"/>
    <xf numFmtId="0" fontId="0" fillId="10" borderId="54" xfId="0" applyFill="1" applyBorder="1" applyAlignment="1">
      <alignment horizontal="right"/>
    </xf>
    <xf numFmtId="0" fontId="22" fillId="14" borderId="40" xfId="0" applyFont="1" applyFill="1" applyBorder="1"/>
    <xf numFmtId="0" fontId="22" fillId="11" borderId="25" xfId="0" applyFont="1" applyFill="1" applyBorder="1"/>
    <xf numFmtId="0" fontId="22" fillId="12" borderId="67" xfId="0" applyFont="1" applyFill="1" applyBorder="1"/>
    <xf numFmtId="0" fontId="0" fillId="12" borderId="68" xfId="0" applyFill="1" applyBorder="1" applyAlignment="1">
      <alignment horizontal="right" wrapText="1"/>
    </xf>
    <xf numFmtId="0" fontId="24" fillId="3" borderId="84" xfId="0" applyFont="1" applyFill="1" applyBorder="1" applyAlignment="1">
      <alignment vertical="center"/>
    </xf>
    <xf numFmtId="0" fontId="0" fillId="16" borderId="0" xfId="0" applyFill="1" applyAlignment="1">
      <alignment horizontal="center"/>
    </xf>
    <xf numFmtId="0" fontId="0" fillId="15" borderId="0" xfId="0" applyFill="1" applyAlignment="1">
      <alignment vertical="center"/>
    </xf>
    <xf numFmtId="0" fontId="0" fillId="0" borderId="11" xfId="0" applyBorder="1"/>
    <xf numFmtId="0" fontId="0" fillId="0" borderId="89" xfId="0" applyBorder="1"/>
    <xf numFmtId="0" fontId="0" fillId="3" borderId="90" xfId="0" applyFill="1" applyBorder="1" applyAlignment="1">
      <alignment horizontal="center" vertical="center"/>
    </xf>
    <xf numFmtId="0" fontId="0" fillId="15" borderId="88" xfId="0" applyFill="1" applyBorder="1"/>
    <xf numFmtId="0" fontId="0" fillId="15" borderId="0" xfId="0" applyFill="1"/>
    <xf numFmtId="0" fontId="0" fillId="3" borderId="89" xfId="0" applyFill="1" applyBorder="1" applyAlignment="1">
      <alignment horizontal="center" vertical="center"/>
    </xf>
    <xf numFmtId="0" fontId="0" fillId="3" borderId="91" xfId="0" applyFill="1" applyBorder="1" applyAlignment="1">
      <alignment horizontal="center" vertical="center"/>
    </xf>
    <xf numFmtId="0" fontId="0" fillId="3" borderId="93" xfId="0" applyFill="1" applyBorder="1" applyAlignment="1">
      <alignment horizontal="center" vertical="center"/>
    </xf>
    <xf numFmtId="0" fontId="0" fillId="3" borderId="94" xfId="0" applyFill="1" applyBorder="1" applyAlignment="1">
      <alignment horizontal="center" vertical="center"/>
    </xf>
    <xf numFmtId="0" fontId="0" fillId="0" borderId="91" xfId="0" applyBorder="1"/>
    <xf numFmtId="0" fontId="0" fillId="0" borderId="96" xfId="0" applyBorder="1"/>
    <xf numFmtId="0" fontId="0" fillId="3" borderId="95" xfId="0" applyFill="1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0" fillId="17" borderId="89" xfId="0" applyFill="1" applyBorder="1" applyAlignment="1">
      <alignment vertical="center"/>
    </xf>
    <xf numFmtId="0" fontId="0" fillId="3" borderId="83" xfId="0" applyFill="1" applyBorder="1" applyAlignment="1">
      <alignment vertical="center"/>
    </xf>
    <xf numFmtId="0" fontId="0" fillId="0" borderId="89" xfId="0" applyBorder="1" applyAlignment="1">
      <alignment horizontal="center" vertical="center"/>
    </xf>
    <xf numFmtId="0" fontId="0" fillId="18" borderId="89" xfId="0" applyFill="1" applyBorder="1" applyAlignment="1">
      <alignment horizontal="center" vertical="center"/>
    </xf>
    <xf numFmtId="0" fontId="24" fillId="3" borderId="83" xfId="0" applyFont="1" applyFill="1" applyBorder="1" applyAlignment="1">
      <alignment vertical="center"/>
    </xf>
    <xf numFmtId="0" fontId="0" fillId="0" borderId="90" xfId="0" applyBorder="1" applyAlignment="1">
      <alignment horizontal="center" vertical="center"/>
    </xf>
    <xf numFmtId="0" fontId="29" fillId="3" borderId="85" xfId="0" applyFont="1" applyFill="1" applyBorder="1" applyAlignment="1">
      <alignment horizontal="left" vertical="center"/>
    </xf>
    <xf numFmtId="0" fontId="0" fillId="3" borderId="92" xfId="0" applyFill="1" applyBorder="1" applyAlignment="1">
      <alignment horizontal="center" vertical="center"/>
    </xf>
    <xf numFmtId="0" fontId="0" fillId="0" borderId="94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89" xfId="0" applyBorder="1" applyAlignment="1">
      <alignment wrapText="1"/>
    </xf>
    <xf numFmtId="0" fontId="0" fillId="0" borderId="92" xfId="0" applyBorder="1" applyAlignment="1">
      <alignment wrapText="1"/>
    </xf>
    <xf numFmtId="0" fontId="0" fillId="14" borderId="41" xfId="0" applyFill="1" applyBorder="1" applyAlignment="1">
      <alignment horizontal="right"/>
    </xf>
    <xf numFmtId="0" fontId="0" fillId="11" borderId="26" xfId="0" applyFill="1" applyBorder="1" applyAlignment="1">
      <alignment horizontal="right"/>
    </xf>
    <xf numFmtId="0" fontId="30" fillId="0" borderId="0" xfId="0" applyFont="1"/>
    <xf numFmtId="0" fontId="31" fillId="0" borderId="0" xfId="0" applyFont="1"/>
    <xf numFmtId="0" fontId="6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164" fontId="36" fillId="19" borderId="0" xfId="0" applyNumberFormat="1" applyFont="1" applyFill="1"/>
    <xf numFmtId="0" fontId="36" fillId="0" borderId="6" xfId="0" applyFont="1" applyBorder="1"/>
    <xf numFmtId="0" fontId="36" fillId="0" borderId="6" xfId="0" applyFont="1" applyBorder="1" applyAlignment="1">
      <alignment wrapText="1"/>
    </xf>
    <xf numFmtId="0" fontId="34" fillId="0" borderId="6" xfId="0" applyFont="1" applyBorder="1"/>
    <xf numFmtId="0" fontId="37" fillId="20" borderId="102" xfId="0" applyFont="1" applyFill="1" applyBorder="1"/>
    <xf numFmtId="0" fontId="37" fillId="20" borderId="102" xfId="0" applyFont="1" applyFill="1" applyBorder="1" applyAlignment="1">
      <alignment wrapText="1"/>
    </xf>
    <xf numFmtId="0" fontId="6" fillId="20" borderId="102" xfId="0" applyFont="1" applyFill="1" applyBorder="1"/>
    <xf numFmtId="164" fontId="36" fillId="20" borderId="102" xfId="0" applyNumberFormat="1" applyFont="1" applyFill="1" applyBorder="1"/>
    <xf numFmtId="0" fontId="6" fillId="4" borderId="102" xfId="0" applyFont="1" applyFill="1" applyBorder="1"/>
    <xf numFmtId="0" fontId="6" fillId="0" borderId="102" xfId="0" applyFont="1" applyBorder="1" applyAlignment="1">
      <alignment wrapText="1"/>
    </xf>
    <xf numFmtId="164" fontId="6" fillId="0" borderId="102" xfId="0" applyNumberFormat="1" applyFont="1" applyBorder="1" applyAlignment="1">
      <alignment wrapText="1"/>
    </xf>
    <xf numFmtId="0" fontId="38" fillId="4" borderId="0" xfId="0" applyFont="1" applyFill="1"/>
    <xf numFmtId="0" fontId="34" fillId="0" borderId="0" xfId="0" applyFont="1" applyAlignment="1">
      <alignment horizontal="center"/>
    </xf>
    <xf numFmtId="0" fontId="39" fillId="2" borderId="103" xfId="0" applyFont="1" applyFill="1" applyBorder="1" applyAlignment="1">
      <alignment horizontal="center" wrapText="1"/>
    </xf>
    <xf numFmtId="0" fontId="39" fillId="2" borderId="104" xfId="0" applyFont="1" applyFill="1" applyBorder="1" applyAlignment="1">
      <alignment horizontal="center" wrapText="1"/>
    </xf>
    <xf numFmtId="0" fontId="1" fillId="2" borderId="106" xfId="0" applyFont="1" applyFill="1" applyBorder="1" applyAlignment="1">
      <alignment horizontal="center" wrapText="1"/>
    </xf>
    <xf numFmtId="0" fontId="1" fillId="2" borderId="107" xfId="0" applyFont="1" applyFill="1" applyBorder="1" applyAlignment="1">
      <alignment horizontal="center" wrapText="1"/>
    </xf>
    <xf numFmtId="0" fontId="1" fillId="2" borderId="108" xfId="0" applyFont="1" applyFill="1" applyBorder="1" applyAlignment="1">
      <alignment horizontal="center"/>
    </xf>
    <xf numFmtId="0" fontId="1" fillId="0" borderId="7" xfId="0" applyFont="1" applyBorder="1" applyAlignment="1">
      <alignment horizontal="left" wrapText="1"/>
    </xf>
    <xf numFmtId="0" fontId="1" fillId="0" borderId="109" xfId="0" applyFont="1" applyBorder="1" applyAlignment="1">
      <alignment horizontal="left" wrapText="1"/>
    </xf>
    <xf numFmtId="0" fontId="1" fillId="0" borderId="110" xfId="0" applyFont="1" applyBorder="1" applyAlignment="1">
      <alignment horizontal="left" wrapText="1"/>
    </xf>
    <xf numFmtId="0" fontId="1" fillId="0" borderId="111" xfId="0" applyFont="1" applyBorder="1" applyAlignment="1">
      <alignment horizontal="left" wrapText="1"/>
    </xf>
    <xf numFmtId="0" fontId="1" fillId="0" borderId="112" xfId="0" applyFont="1" applyBorder="1" applyAlignment="1">
      <alignment horizontal="left" wrapText="1"/>
    </xf>
    <xf numFmtId="0" fontId="39" fillId="2" borderId="116" xfId="0" applyFont="1" applyFill="1" applyBorder="1" applyAlignment="1">
      <alignment horizontal="center"/>
    </xf>
    <xf numFmtId="0" fontId="0" fillId="0" borderId="105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18" xfId="0" applyBorder="1" applyAlignment="1">
      <alignment wrapText="1"/>
    </xf>
    <xf numFmtId="0" fontId="0" fillId="0" borderId="119" xfId="0" applyBorder="1" applyAlignment="1">
      <alignment wrapText="1"/>
    </xf>
    <xf numFmtId="0" fontId="0" fillId="0" borderId="117" xfId="0" applyBorder="1" applyAlignment="1">
      <alignment wrapText="1"/>
    </xf>
    <xf numFmtId="0" fontId="0" fillId="0" borderId="120" xfId="0" applyBorder="1" applyAlignment="1">
      <alignment wrapText="1"/>
    </xf>
    <xf numFmtId="164" fontId="6" fillId="19" borderId="102" xfId="0" applyNumberFormat="1" applyFont="1" applyFill="1" applyBorder="1"/>
    <xf numFmtId="0" fontId="9" fillId="16" borderId="25" xfId="0" applyFont="1" applyFill="1" applyBorder="1"/>
    <xf numFmtId="0" fontId="9" fillId="16" borderId="22" xfId="0" applyFont="1" applyFill="1" applyBorder="1"/>
    <xf numFmtId="0" fontId="9" fillId="16" borderId="28" xfId="0" applyFont="1" applyFill="1" applyBorder="1"/>
    <xf numFmtId="0" fontId="9" fillId="16" borderId="41" xfId="0" applyFont="1" applyFill="1" applyBorder="1"/>
    <xf numFmtId="0" fontId="9" fillId="16" borderId="0" xfId="0" applyFont="1" applyFill="1"/>
    <xf numFmtId="0" fontId="9" fillId="16" borderId="38" xfId="0" applyFont="1" applyFill="1" applyBorder="1"/>
    <xf numFmtId="0" fontId="9" fillId="16" borderId="45" xfId="0" applyFont="1" applyFill="1" applyBorder="1"/>
    <xf numFmtId="0" fontId="6" fillId="21" borderId="102" xfId="0" applyFont="1" applyFill="1" applyBorder="1"/>
    <xf numFmtId="0" fontId="13" fillId="21" borderId="0" xfId="0" applyFont="1" applyFill="1"/>
    <xf numFmtId="0" fontId="9" fillId="0" borderId="54" xfId="0" applyFont="1" applyBorder="1"/>
    <xf numFmtId="0" fontId="9" fillId="0" borderId="51" xfId="0" applyFont="1" applyBorder="1"/>
    <xf numFmtId="0" fontId="9" fillId="0" borderId="57" xfId="0" applyFont="1" applyBorder="1"/>
    <xf numFmtId="0" fontId="9" fillId="0" borderId="49" xfId="0" applyFont="1" applyBorder="1"/>
    <xf numFmtId="0" fontId="9" fillId="0" borderId="46" xfId="0" applyFont="1" applyBorder="1"/>
    <xf numFmtId="0" fontId="0" fillId="0" borderId="53" xfId="0" applyBorder="1"/>
    <xf numFmtId="0" fontId="0" fillId="0" borderId="54" xfId="0" applyBorder="1"/>
    <xf numFmtId="0" fontId="0" fillId="0" borderId="50" xfId="0" applyBorder="1"/>
    <xf numFmtId="0" fontId="0" fillId="0" borderId="51" xfId="0" applyBorder="1"/>
    <xf numFmtId="0" fontId="0" fillId="0" borderId="56" xfId="0" applyBorder="1"/>
    <xf numFmtId="0" fontId="0" fillId="0" borderId="57" xfId="0" applyBorder="1"/>
    <xf numFmtId="0" fontId="0" fillId="0" borderId="62" xfId="0" applyBorder="1"/>
    <xf numFmtId="0" fontId="0" fillId="0" borderId="61" xfId="0" applyBorder="1"/>
    <xf numFmtId="0" fontId="0" fillId="0" borderId="40" xfId="0" applyBorder="1"/>
    <xf numFmtId="0" fontId="0" fillId="0" borderId="41" xfId="0" applyBorder="1"/>
    <xf numFmtId="0" fontId="0" fillId="0" borderId="37" xfId="0" applyBorder="1"/>
    <xf numFmtId="0" fontId="0" fillId="0" borderId="38" xfId="0" applyBorder="1"/>
    <xf numFmtId="0" fontId="0" fillId="0" borderId="25" xfId="0" applyBorder="1"/>
    <xf numFmtId="0" fontId="0" fillId="0" borderId="26" xfId="0" applyBorder="1"/>
    <xf numFmtId="0" fontId="0" fillId="0" borderId="22" xfId="0" applyBorder="1"/>
    <xf numFmtId="0" fontId="0" fillId="0" borderId="23" xfId="0" applyBorder="1"/>
    <xf numFmtId="0" fontId="0" fillId="0" borderId="67" xfId="0" applyBorder="1"/>
    <xf numFmtId="0" fontId="0" fillId="0" borderId="68" xfId="0" applyBorder="1"/>
    <xf numFmtId="0" fontId="0" fillId="0" borderId="64" xfId="0" applyBorder="1"/>
    <xf numFmtId="0" fontId="0" fillId="0" borderId="65" xfId="0" applyBorder="1"/>
    <xf numFmtId="0" fontId="0" fillId="0" borderId="70" xfId="0" applyBorder="1"/>
    <xf numFmtId="164" fontId="6" fillId="20" borderId="102" xfId="0" applyNumberFormat="1" applyFont="1" applyFill="1" applyBorder="1"/>
    <xf numFmtId="0" fontId="6" fillId="22" borderId="102" xfId="0" applyFont="1" applyFill="1" applyBorder="1"/>
    <xf numFmtId="0" fontId="6" fillId="22" borderId="102" xfId="0" applyFont="1" applyFill="1" applyBorder="1" applyAlignment="1">
      <alignment wrapText="1"/>
    </xf>
    <xf numFmtId="164" fontId="6" fillId="22" borderId="102" xfId="0" applyNumberFormat="1" applyFont="1" applyFill="1" applyBorder="1" applyAlignment="1">
      <alignment wrapText="1"/>
    </xf>
    <xf numFmtId="0" fontId="9" fillId="22" borderId="41" xfId="0" applyFont="1" applyFill="1" applyBorder="1"/>
    <xf numFmtId="164" fontId="6" fillId="23" borderId="102" xfId="0" applyNumberFormat="1" applyFont="1" applyFill="1" applyBorder="1"/>
    <xf numFmtId="164" fontId="6" fillId="24" borderId="102" xfId="0" applyNumberFormat="1" applyFont="1" applyFill="1" applyBorder="1"/>
    <xf numFmtId="0" fontId="41" fillId="0" borderId="0" xfId="0" applyFont="1"/>
    <xf numFmtId="164" fontId="0" fillId="25" borderId="0" xfId="2" applyNumberFormat="1" applyFont="1" applyFill="1"/>
    <xf numFmtId="0" fontId="2" fillId="0" borderId="121" xfId="0" applyFont="1" applyBorder="1" applyAlignment="1">
      <alignment readingOrder="1"/>
    </xf>
    <xf numFmtId="0" fontId="2" fillId="0" borderId="122" xfId="0" applyFont="1" applyBorder="1" applyAlignment="1">
      <alignment readingOrder="1"/>
    </xf>
    <xf numFmtId="0" fontId="42" fillId="0" borderId="0" xfId="0" applyFont="1"/>
    <xf numFmtId="0" fontId="0" fillId="16" borderId="0" xfId="0" applyFill="1"/>
    <xf numFmtId="0" fontId="11" fillId="16" borderId="0" xfId="0" applyFont="1" applyFill="1"/>
    <xf numFmtId="0" fontId="38" fillId="16" borderId="0" xfId="0" applyFont="1" applyFill="1"/>
    <xf numFmtId="0" fontId="6" fillId="16" borderId="0" xfId="0" applyFont="1" applyFill="1"/>
    <xf numFmtId="0" fontId="37" fillId="16" borderId="0" xfId="0" applyFont="1" applyFill="1"/>
    <xf numFmtId="0" fontId="37" fillId="16" borderId="0" xfId="0" applyFont="1" applyFill="1" applyAlignment="1">
      <alignment wrapText="1"/>
    </xf>
    <xf numFmtId="0" fontId="36" fillId="16" borderId="0" xfId="0" applyFont="1" applyFill="1"/>
    <xf numFmtId="0" fontId="6" fillId="16" borderId="0" xfId="0" applyFont="1" applyFill="1" applyAlignment="1">
      <alignment wrapText="1"/>
    </xf>
    <xf numFmtId="0" fontId="2" fillId="16" borderId="0" xfId="0" applyFont="1" applyFill="1" applyAlignment="1">
      <alignment horizontal="center" readingOrder="1"/>
    </xf>
    <xf numFmtId="0" fontId="2" fillId="16" borderId="0" xfId="0" applyFont="1" applyFill="1" applyAlignment="1">
      <alignment readingOrder="1"/>
    </xf>
    <xf numFmtId="0" fontId="2" fillId="16" borderId="0" xfId="0" applyFont="1" applyFill="1" applyAlignment="1">
      <alignment wrapText="1" readingOrder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9" fillId="0" borderId="113" xfId="0" applyFont="1" applyBorder="1" applyAlignment="1">
      <alignment horizontal="center"/>
    </xf>
    <xf numFmtId="0" fontId="39" fillId="0" borderId="114" xfId="0" applyFont="1" applyBorder="1" applyAlignment="1">
      <alignment horizontal="center"/>
    </xf>
    <xf numFmtId="0" fontId="39" fillId="0" borderId="115" xfId="0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39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2" xfId="0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72" xfId="0" applyFont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31" xfId="0" applyFont="1" applyFill="1" applyBorder="1" applyAlignment="1">
      <alignment horizontal="center"/>
    </xf>
    <xf numFmtId="0" fontId="12" fillId="4" borderId="34" xfId="0" applyFont="1" applyFill="1" applyBorder="1" applyAlignment="1">
      <alignment horizontal="center"/>
    </xf>
    <xf numFmtId="0" fontId="12" fillId="4" borderId="21" xfId="0" applyFont="1" applyFill="1" applyBorder="1" applyAlignment="1">
      <alignment horizontal="center"/>
    </xf>
    <xf numFmtId="0" fontId="12" fillId="4" borderId="35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5" borderId="18" xfId="0" applyFont="1" applyFill="1" applyBorder="1"/>
    <xf numFmtId="0" fontId="10" fillId="5" borderId="0" xfId="0" applyFont="1" applyFill="1"/>
    <xf numFmtId="0" fontId="18" fillId="0" borderId="0" xfId="0" applyFont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0" fillId="15" borderId="88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23" fillId="15" borderId="86" xfId="0" applyFont="1" applyFill="1" applyBorder="1" applyAlignment="1">
      <alignment horizontal="center" vertical="center"/>
    </xf>
    <xf numFmtId="0" fontId="23" fillId="15" borderId="87" xfId="0" applyFont="1" applyFill="1" applyBorder="1" applyAlignment="1">
      <alignment horizontal="center" vertical="center"/>
    </xf>
    <xf numFmtId="0" fontId="0" fillId="3" borderId="99" xfId="0" applyFill="1" applyBorder="1" applyAlignment="1">
      <alignment horizontal="center" vertical="center"/>
    </xf>
    <xf numFmtId="0" fontId="0" fillId="3" borderId="100" xfId="0" applyFill="1" applyBorder="1" applyAlignment="1">
      <alignment horizontal="center" vertical="center"/>
    </xf>
    <xf numFmtId="0" fontId="0" fillId="3" borderId="101" xfId="0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6" fillId="0" borderId="0" xfId="0" applyFont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11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7C4"/>
        </patternFill>
      </fill>
    </dxf>
    <dxf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FFF7C4"/>
        </patternFill>
      </fill>
    </dxf>
    <dxf>
      <fill>
        <patternFill>
          <bgColor rgb="FFFEBEC4"/>
        </patternFill>
      </fill>
    </dxf>
  </dxfs>
  <tableStyles count="0" defaultTableStyle="TableStyleMedium2" defaultPivotStyle="PivotStyleMedium9"/>
  <colors>
    <mruColors>
      <color rgb="FFFFF7C4"/>
      <color rgb="FFF0F0FF"/>
      <color rgb="FFCACAFC"/>
      <color rgb="FFDBDBFF"/>
      <color rgb="FFD1D1FF"/>
      <color rgb="FFE5E5FF"/>
      <color rgb="FFB3B3FF"/>
      <color rgb="FFC2C2FF"/>
      <color rgb="FFBDBDFF"/>
      <color rgb="FFAAA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2</xdr:row>
      <xdr:rowOff>114300</xdr:rowOff>
    </xdr:from>
    <xdr:to>
      <xdr:col>17</xdr:col>
      <xdr:colOff>276225</xdr:colOff>
      <xdr:row>25</xdr:row>
      <xdr:rowOff>123825</xdr:rowOff>
    </xdr:to>
    <xdr:pic>
      <xdr:nvPicPr>
        <xdr:cNvPr id="16" name="Picture 9">
          <a:extLst>
            <a:ext uri="{FF2B5EF4-FFF2-40B4-BE49-F238E27FC236}">
              <a16:creationId xmlns:a16="http://schemas.microsoft.com/office/drawing/2014/main" id="{C8272F4D-0405-F2FB-3A72-507A85456285}"/>
            </a:ext>
            <a:ext uri="{147F2762-F138-4A5C-976F-8EAC2B608ADB}">
              <a16:predDERef xmlns:a16="http://schemas.microsoft.com/office/drawing/2014/main" pred="{08E9F8C5-B676-05B7-7193-29C91272C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495300"/>
          <a:ext cx="10125075" cy="43910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workbookViewId="0">
      <pane xSplit="1" topLeftCell="B1" activePane="topRight" state="frozen"/>
      <selection pane="topRight" activeCell="R3" sqref="R3"/>
    </sheetView>
  </sheetViews>
  <sheetFormatPr defaultRowHeight="15" x14ac:dyDescent="0.25"/>
  <cols>
    <col min="1" max="1" width="38.5703125" customWidth="1"/>
    <col min="2" max="2" width="9.5703125" customWidth="1"/>
    <col min="3" max="3" width="20.7109375" customWidth="1"/>
    <col min="4" max="4" width="12.42578125" customWidth="1"/>
    <col min="7" max="7" width="12.140625" customWidth="1"/>
    <col min="8" max="8" width="11" customWidth="1"/>
    <col min="9" max="9" width="10.140625" customWidth="1"/>
    <col min="10" max="10" width="12.5703125" customWidth="1"/>
    <col min="11" max="11" width="10.7109375" customWidth="1"/>
    <col min="12" max="12" width="28.7109375" customWidth="1"/>
    <col min="13" max="13" width="2.42578125" customWidth="1"/>
    <col min="14" max="14" width="28.7109375" customWidth="1"/>
    <col min="15" max="15" width="26.85546875" customWidth="1"/>
    <col min="16" max="16" width="18" customWidth="1"/>
    <col min="17" max="17" width="2.42578125" customWidth="1"/>
    <col min="18" max="18" width="25.28515625" customWidth="1"/>
    <col min="19" max="19" width="23.7109375" customWidth="1"/>
    <col min="20" max="20" width="23.42578125" customWidth="1"/>
    <col min="21" max="21" width="3.42578125" customWidth="1"/>
    <col min="22" max="22" width="22.28515625" customWidth="1"/>
    <col min="23" max="23" width="21.42578125" customWidth="1"/>
    <col min="24" max="24" width="24.42578125" customWidth="1"/>
  </cols>
  <sheetData>
    <row r="1" spans="1:20" ht="23.25" customHeight="1" x14ac:dyDescent="0.25">
      <c r="A1" s="344" t="s">
        <v>0</v>
      </c>
      <c r="B1" s="345"/>
      <c r="C1" s="345"/>
      <c r="D1" s="345"/>
      <c r="E1" s="345"/>
      <c r="F1" s="346"/>
      <c r="G1" s="347" t="s">
        <v>1</v>
      </c>
      <c r="H1" s="347"/>
      <c r="I1" s="347"/>
      <c r="J1" s="347"/>
      <c r="K1" s="347"/>
      <c r="L1" s="347"/>
      <c r="N1" s="348" t="s">
        <v>2</v>
      </c>
      <c r="O1" s="349"/>
      <c r="P1" s="350"/>
      <c r="R1" s="351" t="s">
        <v>3</v>
      </c>
      <c r="S1" s="352"/>
      <c r="T1" s="353"/>
    </row>
    <row r="2" spans="1:20" ht="33.75" customHeight="1" x14ac:dyDescent="0.25">
      <c r="A2" s="4" t="s">
        <v>4</v>
      </c>
      <c r="B2" s="5" t="s">
        <v>5</v>
      </c>
      <c r="C2" s="5" t="s">
        <v>6</v>
      </c>
      <c r="D2" s="18" t="s">
        <v>7</v>
      </c>
      <c r="E2" s="20" t="s">
        <v>8</v>
      </c>
      <c r="F2" s="6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8" t="s">
        <v>15</v>
      </c>
      <c r="N2" s="270" t="s">
        <v>2</v>
      </c>
      <c r="O2" s="271" t="s">
        <v>16</v>
      </c>
      <c r="P2" s="272" t="s">
        <v>17</v>
      </c>
      <c r="R2" s="268" t="s">
        <v>18</v>
      </c>
      <c r="S2" s="269" t="s">
        <v>19</v>
      </c>
      <c r="T2" s="278" t="s">
        <v>17</v>
      </c>
    </row>
    <row r="3" spans="1:20" ht="60" x14ac:dyDescent="0.25">
      <c r="A3" s="9" t="s">
        <v>20</v>
      </c>
      <c r="B3" s="10" t="s">
        <v>21</v>
      </c>
      <c r="C3" s="11" t="s">
        <v>22</v>
      </c>
      <c r="D3" s="19" t="s">
        <v>23</v>
      </c>
      <c r="E3" s="17" t="s">
        <v>24</v>
      </c>
      <c r="F3" s="12" t="s">
        <v>24</v>
      </c>
      <c r="G3" s="10"/>
      <c r="H3" s="10"/>
      <c r="I3" s="10"/>
      <c r="J3" s="10" t="s">
        <v>25</v>
      </c>
      <c r="K3" s="10" t="s">
        <v>26</v>
      </c>
      <c r="L3" s="1" t="s">
        <v>27</v>
      </c>
      <c r="N3" s="273" t="s">
        <v>28</v>
      </c>
      <c r="O3" s="15" t="s">
        <v>29</v>
      </c>
      <c r="P3" s="274" t="s">
        <v>30</v>
      </c>
      <c r="R3" s="279" t="s">
        <v>31</v>
      </c>
      <c r="S3" s="280" t="s">
        <v>32</v>
      </c>
      <c r="T3" s="283" t="s">
        <v>33</v>
      </c>
    </row>
    <row r="4" spans="1:20" ht="45" x14ac:dyDescent="0.25">
      <c r="A4" s="9" t="s">
        <v>34</v>
      </c>
      <c r="B4" s="10" t="s">
        <v>21</v>
      </c>
      <c r="C4" s="10" t="s">
        <v>22</v>
      </c>
      <c r="D4" s="16" t="s">
        <v>23</v>
      </c>
      <c r="E4" s="17" t="s">
        <v>24</v>
      </c>
      <c r="F4" s="12" t="s">
        <v>24</v>
      </c>
      <c r="G4" s="10"/>
      <c r="H4" s="10"/>
      <c r="I4" s="10"/>
      <c r="J4" s="10"/>
      <c r="K4" s="11" t="s">
        <v>35</v>
      </c>
      <c r="L4" s="1" t="s">
        <v>36</v>
      </c>
      <c r="N4" s="273" t="s">
        <v>37</v>
      </c>
      <c r="O4" s="15" t="s">
        <v>38</v>
      </c>
      <c r="P4" s="274" t="s">
        <v>39</v>
      </c>
      <c r="R4" s="279" t="s">
        <v>40</v>
      </c>
      <c r="S4" s="280" t="s">
        <v>41</v>
      </c>
      <c r="T4" s="283" t="s">
        <v>42</v>
      </c>
    </row>
    <row r="5" spans="1:20" ht="45" x14ac:dyDescent="0.25">
      <c r="A5" s="9" t="s">
        <v>43</v>
      </c>
      <c r="B5" s="10" t="s">
        <v>44</v>
      </c>
      <c r="C5" s="10" t="s">
        <v>22</v>
      </c>
      <c r="D5" s="16" t="s">
        <v>45</v>
      </c>
      <c r="E5" s="17" t="s">
        <v>24</v>
      </c>
      <c r="F5" s="13" t="s">
        <v>24</v>
      </c>
      <c r="G5" s="10"/>
      <c r="H5" s="10"/>
      <c r="I5" s="10"/>
      <c r="J5" s="11" t="s">
        <v>35</v>
      </c>
      <c r="K5" s="10"/>
      <c r="L5" s="1" t="s">
        <v>46</v>
      </c>
      <c r="N5" s="273" t="s">
        <v>47</v>
      </c>
      <c r="O5" s="15" t="s">
        <v>48</v>
      </c>
      <c r="P5" s="274" t="s">
        <v>49</v>
      </c>
      <c r="R5" s="279" t="s">
        <v>50</v>
      </c>
      <c r="S5" s="280" t="s">
        <v>51</v>
      </c>
      <c r="T5" s="283" t="s">
        <v>42</v>
      </c>
    </row>
    <row r="6" spans="1:20" ht="45" x14ac:dyDescent="0.25">
      <c r="A6" s="9" t="s">
        <v>52</v>
      </c>
      <c r="B6" s="10" t="s">
        <v>44</v>
      </c>
      <c r="C6" s="10" t="s">
        <v>53</v>
      </c>
      <c r="D6" s="16" t="s">
        <v>23</v>
      </c>
      <c r="E6" s="17" t="s">
        <v>24</v>
      </c>
      <c r="F6" s="14" t="s">
        <v>54</v>
      </c>
      <c r="G6" s="10" t="s">
        <v>55</v>
      </c>
      <c r="H6" s="10" t="s">
        <v>55</v>
      </c>
      <c r="I6" s="10" t="s">
        <v>56</v>
      </c>
      <c r="J6" s="10" t="s">
        <v>26</v>
      </c>
      <c r="K6" s="10"/>
      <c r="L6" s="1" t="s">
        <v>57</v>
      </c>
      <c r="N6" s="273" t="s">
        <v>58</v>
      </c>
      <c r="O6" s="15" t="s">
        <v>59</v>
      </c>
      <c r="P6" s="274" t="s">
        <v>60</v>
      </c>
      <c r="R6" s="279" t="s">
        <v>61</v>
      </c>
      <c r="S6" s="280" t="s">
        <v>62</v>
      </c>
      <c r="T6" s="283" t="s">
        <v>63</v>
      </c>
    </row>
    <row r="7" spans="1:20" ht="60" x14ac:dyDescent="0.25">
      <c r="A7" s="9" t="s">
        <v>64</v>
      </c>
      <c r="B7" s="10" t="s">
        <v>21</v>
      </c>
      <c r="C7" s="10" t="s">
        <v>53</v>
      </c>
      <c r="D7" s="16" t="s">
        <v>23</v>
      </c>
      <c r="E7" s="17" t="s">
        <v>24</v>
      </c>
      <c r="F7" s="12" t="s">
        <v>54</v>
      </c>
      <c r="G7" s="10" t="s">
        <v>55</v>
      </c>
      <c r="H7" s="10" t="s">
        <v>55</v>
      </c>
      <c r="I7" s="11" t="s">
        <v>65</v>
      </c>
      <c r="J7" s="10" t="s">
        <v>26</v>
      </c>
      <c r="K7" s="10"/>
      <c r="L7" s="1" t="s">
        <v>66</v>
      </c>
      <c r="N7" s="273" t="s">
        <v>67</v>
      </c>
      <c r="O7" s="15" t="s">
        <v>68</v>
      </c>
      <c r="P7" s="274" t="s">
        <v>69</v>
      </c>
      <c r="R7" s="279" t="s">
        <v>70</v>
      </c>
      <c r="S7" s="280" t="s">
        <v>71</v>
      </c>
      <c r="T7" s="283" t="s">
        <v>72</v>
      </c>
    </row>
    <row r="8" spans="1:20" ht="60" x14ac:dyDescent="0.25">
      <c r="A8" s="9" t="s">
        <v>73</v>
      </c>
      <c r="B8" s="10" t="s">
        <v>21</v>
      </c>
      <c r="C8" s="10" t="s">
        <v>53</v>
      </c>
      <c r="D8" s="16" t="s">
        <v>23</v>
      </c>
      <c r="E8" s="17" t="s">
        <v>24</v>
      </c>
      <c r="F8" s="12" t="s">
        <v>54</v>
      </c>
      <c r="G8" s="10"/>
      <c r="H8" s="10"/>
      <c r="I8" s="10" t="s">
        <v>65</v>
      </c>
      <c r="J8" s="10" t="s">
        <v>26</v>
      </c>
      <c r="K8" s="10"/>
      <c r="L8" s="1" t="s">
        <v>74</v>
      </c>
      <c r="N8" s="273" t="s">
        <v>75</v>
      </c>
      <c r="O8" s="15" t="s">
        <v>76</v>
      </c>
      <c r="P8" s="274" t="s">
        <v>49</v>
      </c>
      <c r="R8" s="279" t="s">
        <v>77</v>
      </c>
      <c r="S8" s="280" t="s">
        <v>78</v>
      </c>
      <c r="T8" s="283" t="s">
        <v>63</v>
      </c>
    </row>
    <row r="9" spans="1:20" ht="60" x14ac:dyDescent="0.25">
      <c r="A9" s="9" t="s">
        <v>79</v>
      </c>
      <c r="B9" s="10" t="s">
        <v>21</v>
      </c>
      <c r="C9" s="10" t="s">
        <v>44</v>
      </c>
      <c r="D9" s="16" t="s">
        <v>45</v>
      </c>
      <c r="E9" s="17" t="s">
        <v>54</v>
      </c>
      <c r="F9" s="12" t="s">
        <v>24</v>
      </c>
      <c r="G9" s="10" t="s">
        <v>55</v>
      </c>
      <c r="H9" s="10"/>
      <c r="I9" s="11" t="s">
        <v>35</v>
      </c>
      <c r="J9" s="10"/>
      <c r="K9" s="10"/>
      <c r="L9" s="1" t="s">
        <v>80</v>
      </c>
      <c r="N9" s="273" t="s">
        <v>81</v>
      </c>
      <c r="O9" s="15" t="s">
        <v>82</v>
      </c>
      <c r="P9" s="274" t="s">
        <v>83</v>
      </c>
      <c r="R9" s="279" t="s">
        <v>84</v>
      </c>
      <c r="S9" s="280" t="s">
        <v>85</v>
      </c>
      <c r="T9" s="283" t="s">
        <v>85</v>
      </c>
    </row>
    <row r="10" spans="1:20" ht="45" x14ac:dyDescent="0.25">
      <c r="A10" s="9" t="s">
        <v>86</v>
      </c>
      <c r="B10" s="10" t="s">
        <v>44</v>
      </c>
      <c r="C10" s="10" t="s">
        <v>44</v>
      </c>
      <c r="D10" s="16" t="s">
        <v>45</v>
      </c>
      <c r="E10" s="17" t="s">
        <v>54</v>
      </c>
      <c r="F10" s="12" t="s">
        <v>24</v>
      </c>
      <c r="G10" s="10"/>
      <c r="H10" s="10"/>
      <c r="I10" s="10" t="s">
        <v>65</v>
      </c>
      <c r="J10" s="10" t="s">
        <v>26</v>
      </c>
      <c r="K10" s="10"/>
      <c r="L10" s="2" t="s">
        <v>87</v>
      </c>
      <c r="N10" s="273" t="s">
        <v>88</v>
      </c>
      <c r="O10" s="15" t="s">
        <v>89</v>
      </c>
      <c r="P10" s="274" t="s">
        <v>90</v>
      </c>
      <c r="R10" s="279" t="s">
        <v>91</v>
      </c>
      <c r="S10" s="280" t="s">
        <v>92</v>
      </c>
      <c r="T10" s="283" t="s">
        <v>93</v>
      </c>
    </row>
    <row r="11" spans="1:20" ht="45" x14ac:dyDescent="0.25">
      <c r="A11" s="9" t="s">
        <v>94</v>
      </c>
      <c r="B11" s="10" t="s">
        <v>44</v>
      </c>
      <c r="C11" s="10" t="s">
        <v>44</v>
      </c>
      <c r="D11" s="16" t="s">
        <v>45</v>
      </c>
      <c r="E11" s="17" t="s">
        <v>54</v>
      </c>
      <c r="F11" s="12" t="s">
        <v>24</v>
      </c>
      <c r="G11" s="10"/>
      <c r="H11" s="10"/>
      <c r="I11" s="10" t="s">
        <v>65</v>
      </c>
      <c r="J11" s="10" t="s">
        <v>26</v>
      </c>
      <c r="K11" s="10"/>
      <c r="L11" s="3" t="s">
        <v>95</v>
      </c>
      <c r="N11" s="273" t="s">
        <v>96</v>
      </c>
      <c r="O11" s="15" t="s">
        <v>97</v>
      </c>
      <c r="P11" s="274" t="s">
        <v>98</v>
      </c>
      <c r="R11" s="279" t="s">
        <v>99</v>
      </c>
      <c r="S11" s="280" t="s">
        <v>100</v>
      </c>
      <c r="T11" s="283" t="s">
        <v>33</v>
      </c>
    </row>
    <row r="12" spans="1:20" ht="45" x14ac:dyDescent="0.25">
      <c r="A12" s="9" t="s">
        <v>101</v>
      </c>
      <c r="B12" s="10" t="s">
        <v>44</v>
      </c>
      <c r="C12" s="10" t="s">
        <v>44</v>
      </c>
      <c r="D12" s="16" t="s">
        <v>45</v>
      </c>
      <c r="E12" s="17" t="s">
        <v>54</v>
      </c>
      <c r="F12" s="12" t="s">
        <v>24</v>
      </c>
      <c r="G12" s="11" t="s">
        <v>35</v>
      </c>
      <c r="H12" s="10"/>
      <c r="I12" s="10"/>
      <c r="J12" s="10"/>
      <c r="K12" s="10"/>
      <c r="L12" s="1" t="s">
        <v>102</v>
      </c>
      <c r="N12" s="273" t="s">
        <v>103</v>
      </c>
      <c r="O12" s="15" t="s">
        <v>104</v>
      </c>
      <c r="P12" s="274" t="s">
        <v>105</v>
      </c>
      <c r="R12" s="279" t="s">
        <v>84</v>
      </c>
      <c r="S12" s="280" t="s">
        <v>85</v>
      </c>
      <c r="T12" s="283" t="s">
        <v>85</v>
      </c>
    </row>
    <row r="13" spans="1:20" ht="45" x14ac:dyDescent="0.25">
      <c r="A13" s="9" t="s">
        <v>106</v>
      </c>
      <c r="B13" s="10" t="s">
        <v>44</v>
      </c>
      <c r="C13" s="10" t="s">
        <v>44</v>
      </c>
      <c r="D13" s="16" t="s">
        <v>45</v>
      </c>
      <c r="E13" s="17" t="s">
        <v>54</v>
      </c>
      <c r="F13" s="12" t="s">
        <v>24</v>
      </c>
      <c r="G13" s="11" t="s">
        <v>35</v>
      </c>
      <c r="H13" s="10"/>
      <c r="I13" s="10"/>
      <c r="J13" s="10"/>
      <c r="K13" s="10"/>
      <c r="L13" s="1" t="s">
        <v>107</v>
      </c>
      <c r="N13" s="273" t="s">
        <v>108</v>
      </c>
      <c r="O13" s="15" t="s">
        <v>109</v>
      </c>
      <c r="P13" s="274" t="s">
        <v>105</v>
      </c>
      <c r="R13" s="279" t="s">
        <v>110</v>
      </c>
      <c r="S13" s="280" t="s">
        <v>85</v>
      </c>
      <c r="T13" s="283" t="s">
        <v>85</v>
      </c>
    </row>
    <row r="14" spans="1:20" ht="45" x14ac:dyDescent="0.25">
      <c r="A14" s="9" t="s">
        <v>111</v>
      </c>
      <c r="B14" s="10" t="s">
        <v>44</v>
      </c>
      <c r="C14" s="10" t="s">
        <v>112</v>
      </c>
      <c r="D14" s="16" t="s">
        <v>45</v>
      </c>
      <c r="E14" s="17" t="s">
        <v>54</v>
      </c>
      <c r="F14" s="12" t="s">
        <v>54</v>
      </c>
      <c r="G14" s="10" t="s">
        <v>65</v>
      </c>
      <c r="H14" s="10"/>
      <c r="I14" s="10"/>
      <c r="J14" s="10" t="s">
        <v>26</v>
      </c>
      <c r="K14" s="10"/>
      <c r="L14" s="1" t="s">
        <v>113</v>
      </c>
      <c r="N14" s="273" t="s">
        <v>114</v>
      </c>
      <c r="O14" s="15" t="s">
        <v>115</v>
      </c>
      <c r="P14" s="274" t="s">
        <v>116</v>
      </c>
      <c r="R14" s="279" t="s">
        <v>117</v>
      </c>
      <c r="S14" s="280" t="s">
        <v>118</v>
      </c>
      <c r="T14" s="283" t="s">
        <v>119</v>
      </c>
    </row>
    <row r="15" spans="1:20" ht="45" x14ac:dyDescent="0.25">
      <c r="A15" s="9" t="s">
        <v>120</v>
      </c>
      <c r="B15" s="10" t="s">
        <v>44</v>
      </c>
      <c r="C15" s="10" t="s">
        <v>112</v>
      </c>
      <c r="D15" s="16" t="s">
        <v>45</v>
      </c>
      <c r="E15" s="17" t="s">
        <v>54</v>
      </c>
      <c r="F15" s="12" t="s">
        <v>24</v>
      </c>
      <c r="G15" s="10" t="s">
        <v>121</v>
      </c>
      <c r="H15" s="10"/>
      <c r="I15" s="10"/>
      <c r="J15" s="10" t="s">
        <v>26</v>
      </c>
      <c r="K15" s="10"/>
      <c r="L15" s="1" t="s">
        <v>122</v>
      </c>
      <c r="N15" s="273" t="s">
        <v>123</v>
      </c>
      <c r="O15" s="15" t="s">
        <v>124</v>
      </c>
      <c r="P15" s="274" t="s">
        <v>83</v>
      </c>
      <c r="R15" s="279" t="s">
        <v>125</v>
      </c>
      <c r="S15" s="280" t="s">
        <v>126</v>
      </c>
      <c r="T15" s="283" t="s">
        <v>127</v>
      </c>
    </row>
    <row r="16" spans="1:20" ht="60" x14ac:dyDescent="0.25">
      <c r="A16" s="9" t="s">
        <v>128</v>
      </c>
      <c r="B16" s="10" t="s">
        <v>44</v>
      </c>
      <c r="C16" s="10" t="s">
        <v>112</v>
      </c>
      <c r="D16" s="16" t="s">
        <v>45</v>
      </c>
      <c r="E16" s="17" t="s">
        <v>54</v>
      </c>
      <c r="F16" s="12" t="s">
        <v>24</v>
      </c>
      <c r="G16" s="10"/>
      <c r="H16" s="10"/>
      <c r="I16" s="10" t="s">
        <v>65</v>
      </c>
      <c r="J16" s="10" t="s">
        <v>26</v>
      </c>
      <c r="K16" s="10"/>
      <c r="L16" s="1" t="s">
        <v>129</v>
      </c>
      <c r="N16" s="273" t="s">
        <v>130</v>
      </c>
      <c r="O16" s="15" t="s">
        <v>131</v>
      </c>
      <c r="P16" s="274" t="s">
        <v>132</v>
      </c>
      <c r="R16" s="279" t="s">
        <v>133</v>
      </c>
      <c r="S16" s="280" t="s">
        <v>134</v>
      </c>
      <c r="T16" s="283" t="s">
        <v>127</v>
      </c>
    </row>
    <row r="17" spans="1:20" ht="60" x14ac:dyDescent="0.25">
      <c r="A17" s="9" t="s">
        <v>135</v>
      </c>
      <c r="B17" s="10" t="s">
        <v>44</v>
      </c>
      <c r="C17" s="10" t="s">
        <v>112</v>
      </c>
      <c r="D17" s="16" t="s">
        <v>45</v>
      </c>
      <c r="E17" s="17" t="s">
        <v>24</v>
      </c>
      <c r="F17" s="12" t="s">
        <v>24</v>
      </c>
      <c r="G17" s="10"/>
      <c r="H17" s="10"/>
      <c r="I17" s="10" t="s">
        <v>65</v>
      </c>
      <c r="J17" s="10" t="s">
        <v>26</v>
      </c>
      <c r="K17" s="10"/>
      <c r="L17" s="1" t="s">
        <v>136</v>
      </c>
      <c r="N17" s="275" t="s">
        <v>137</v>
      </c>
      <c r="O17" s="276" t="s">
        <v>138</v>
      </c>
      <c r="P17" s="277" t="s">
        <v>132</v>
      </c>
      <c r="R17" s="281" t="s">
        <v>139</v>
      </c>
      <c r="S17" s="282" t="s">
        <v>140</v>
      </c>
      <c r="T17" s="284" t="s">
        <v>60</v>
      </c>
    </row>
  </sheetData>
  <mergeCells count="4">
    <mergeCell ref="A1:F1"/>
    <mergeCell ref="G1:L1"/>
    <mergeCell ref="N1:P1"/>
    <mergeCell ref="R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7E67-4393-4F0A-A23D-052CE129C8F4}">
  <dimension ref="A1"/>
  <sheetViews>
    <sheetView topLeftCell="B3" workbookViewId="0">
      <selection activeCell="J3" sqref="J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1340-056B-4465-AC4F-721319374A87}">
  <dimension ref="A2:DL90"/>
  <sheetViews>
    <sheetView workbookViewId="0">
      <pane xSplit="6" topLeftCell="G1" activePane="topRight" state="frozen"/>
      <selection pane="topRight"/>
    </sheetView>
  </sheetViews>
  <sheetFormatPr defaultColWidth="9.140625" defaultRowHeight="15" x14ac:dyDescent="0.25"/>
  <cols>
    <col min="2" max="2" width="44.28515625" customWidth="1"/>
    <col min="3" max="3" width="26.42578125" customWidth="1"/>
    <col min="4" max="4" width="12.5703125" customWidth="1"/>
    <col min="5" max="5" width="13.42578125" customWidth="1"/>
    <col min="6" max="6" width="15" customWidth="1"/>
    <col min="7" max="7" width="1.42578125" customWidth="1"/>
    <col min="8" max="103" width="2.28515625" customWidth="1"/>
  </cols>
  <sheetData>
    <row r="2" spans="1:116" ht="55.5" customHeight="1" x14ac:dyDescent="1.1000000000000001">
      <c r="B2" s="364" t="s">
        <v>141</v>
      </c>
      <c r="C2" s="365"/>
      <c r="D2" s="365"/>
      <c r="E2" s="365"/>
      <c r="F2" s="365"/>
      <c r="G2" s="365"/>
      <c r="H2" s="368" t="s">
        <v>142</v>
      </c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2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</row>
    <row r="3" spans="1:116" ht="15.75" customHeight="1" x14ac:dyDescent="0.25"/>
    <row r="5" spans="1:116" x14ac:dyDescent="0.25">
      <c r="B5" s="29"/>
      <c r="C5" s="28"/>
      <c r="D5" s="28"/>
      <c r="E5" s="28"/>
      <c r="F5" s="28"/>
      <c r="G5" s="28"/>
      <c r="H5" s="361" t="s">
        <v>143</v>
      </c>
      <c r="I5" s="362"/>
      <c r="J5" s="362"/>
      <c r="K5" s="362"/>
      <c r="L5" s="362"/>
      <c r="M5" s="362"/>
      <c r="N5" s="362"/>
      <c r="O5" s="362"/>
      <c r="P5" s="362"/>
      <c r="Q5" s="362"/>
      <c r="R5" s="362"/>
      <c r="S5" s="362"/>
      <c r="T5" s="362"/>
      <c r="U5" s="362"/>
      <c r="V5" s="362"/>
      <c r="W5" s="362"/>
      <c r="X5" s="362"/>
      <c r="Y5" s="362"/>
      <c r="Z5" s="362"/>
      <c r="AA5" s="362"/>
      <c r="AB5" s="362"/>
      <c r="AC5" s="362"/>
      <c r="AD5" s="362"/>
      <c r="AE5" s="362"/>
      <c r="AF5" s="362"/>
      <c r="AG5" s="362"/>
      <c r="AH5" s="362"/>
      <c r="AI5" s="362"/>
      <c r="AJ5" s="362"/>
      <c r="AK5" s="362"/>
      <c r="AL5" s="362"/>
      <c r="AM5" s="362"/>
      <c r="AN5" s="362"/>
      <c r="AO5" s="362"/>
      <c r="AP5" s="362"/>
      <c r="AQ5" s="362"/>
      <c r="AR5" s="362"/>
      <c r="AS5" s="362"/>
      <c r="AT5" s="362"/>
      <c r="AU5" s="362"/>
      <c r="AV5" s="362"/>
      <c r="AW5" s="362"/>
      <c r="AX5" s="362"/>
      <c r="AY5" s="362"/>
      <c r="AZ5" s="362"/>
      <c r="BA5" s="362"/>
      <c r="BB5" s="362"/>
      <c r="BC5" s="363"/>
      <c r="BD5" s="361" t="s">
        <v>144</v>
      </c>
      <c r="BE5" s="362"/>
      <c r="BF5" s="362"/>
      <c r="BG5" s="362"/>
      <c r="BH5" s="362"/>
      <c r="BI5" s="362"/>
      <c r="BJ5" s="362"/>
      <c r="BK5" s="362"/>
      <c r="BL5" s="362"/>
      <c r="BM5" s="362"/>
      <c r="BN5" s="362"/>
      <c r="BO5" s="362"/>
      <c r="BP5" s="362"/>
      <c r="BQ5" s="362"/>
      <c r="BR5" s="362"/>
      <c r="BS5" s="362"/>
      <c r="BT5" s="362"/>
      <c r="BU5" s="362"/>
      <c r="BV5" s="362"/>
      <c r="BW5" s="362"/>
      <c r="BX5" s="362"/>
      <c r="BY5" s="362"/>
      <c r="BZ5" s="362"/>
      <c r="CA5" s="362"/>
      <c r="CB5" s="362"/>
      <c r="CC5" s="362"/>
      <c r="CD5" s="362"/>
      <c r="CE5" s="362"/>
      <c r="CF5" s="362"/>
      <c r="CG5" s="362"/>
      <c r="CH5" s="362"/>
      <c r="CI5" s="362"/>
      <c r="CJ5" s="362"/>
      <c r="CK5" s="362"/>
      <c r="CL5" s="362"/>
      <c r="CM5" s="362"/>
      <c r="CN5" s="362"/>
      <c r="CO5" s="362"/>
      <c r="CP5" s="362"/>
      <c r="CQ5" s="362"/>
      <c r="CR5" s="362"/>
      <c r="CS5" s="362"/>
      <c r="CT5" s="362"/>
      <c r="CU5" s="362"/>
      <c r="CV5" s="362"/>
      <c r="CW5" s="362"/>
      <c r="CX5" s="362"/>
      <c r="CY5" s="363"/>
    </row>
    <row r="6" spans="1:116" x14ac:dyDescent="0.25">
      <c r="A6" s="366" t="s">
        <v>145</v>
      </c>
      <c r="B6" s="366" t="s">
        <v>146</v>
      </c>
      <c r="C6" s="366" t="s">
        <v>147</v>
      </c>
      <c r="D6" s="366" t="s">
        <v>148</v>
      </c>
      <c r="E6" s="366" t="s">
        <v>149</v>
      </c>
      <c r="F6" s="366" t="s">
        <v>150</v>
      </c>
      <c r="G6" s="28"/>
      <c r="H6" s="358" t="s">
        <v>151</v>
      </c>
      <c r="I6" s="359"/>
      <c r="J6" s="359"/>
      <c r="K6" s="360"/>
      <c r="L6" s="358" t="s">
        <v>152</v>
      </c>
      <c r="M6" s="359"/>
      <c r="N6" s="359"/>
      <c r="O6" s="360"/>
      <c r="P6" s="358" t="s">
        <v>153</v>
      </c>
      <c r="Q6" s="359"/>
      <c r="R6" s="359"/>
      <c r="S6" s="360"/>
      <c r="T6" s="358" t="s">
        <v>154</v>
      </c>
      <c r="U6" s="359"/>
      <c r="V6" s="359"/>
      <c r="W6" s="360"/>
      <c r="X6" s="358" t="s">
        <v>155</v>
      </c>
      <c r="Y6" s="359"/>
      <c r="Z6" s="359"/>
      <c r="AA6" s="360"/>
      <c r="AB6" s="358" t="s">
        <v>156</v>
      </c>
      <c r="AC6" s="359"/>
      <c r="AD6" s="359"/>
      <c r="AE6" s="360"/>
      <c r="AF6" s="358" t="s">
        <v>157</v>
      </c>
      <c r="AG6" s="359"/>
      <c r="AH6" s="359"/>
      <c r="AI6" s="360"/>
      <c r="AJ6" s="358" t="s">
        <v>158</v>
      </c>
      <c r="AK6" s="359"/>
      <c r="AL6" s="359"/>
      <c r="AM6" s="360"/>
      <c r="AN6" s="358" t="s">
        <v>159</v>
      </c>
      <c r="AO6" s="359"/>
      <c r="AP6" s="359"/>
      <c r="AQ6" s="360"/>
      <c r="AR6" s="358" t="s">
        <v>160</v>
      </c>
      <c r="AS6" s="359"/>
      <c r="AT6" s="359"/>
      <c r="AU6" s="360"/>
      <c r="AV6" s="358" t="s">
        <v>161</v>
      </c>
      <c r="AW6" s="359"/>
      <c r="AX6" s="359"/>
      <c r="AY6" s="360"/>
      <c r="AZ6" s="358" t="s">
        <v>162</v>
      </c>
      <c r="BA6" s="359"/>
      <c r="BB6" s="359"/>
      <c r="BC6" s="360"/>
      <c r="BD6" s="358" t="s">
        <v>151</v>
      </c>
      <c r="BE6" s="359"/>
      <c r="BF6" s="359"/>
      <c r="BG6" s="360"/>
      <c r="BH6" s="358" t="s">
        <v>152</v>
      </c>
      <c r="BI6" s="359"/>
      <c r="BJ6" s="359"/>
      <c r="BK6" s="360"/>
      <c r="BL6" s="358" t="s">
        <v>153</v>
      </c>
      <c r="BM6" s="359"/>
      <c r="BN6" s="359"/>
      <c r="BO6" s="360"/>
      <c r="BP6" s="358" t="s">
        <v>154</v>
      </c>
      <c r="BQ6" s="359"/>
      <c r="BR6" s="359"/>
      <c r="BS6" s="360"/>
      <c r="BT6" s="358" t="s">
        <v>155</v>
      </c>
      <c r="BU6" s="359"/>
      <c r="BV6" s="359"/>
      <c r="BW6" s="360"/>
      <c r="BX6" s="358" t="s">
        <v>156</v>
      </c>
      <c r="BY6" s="359"/>
      <c r="BZ6" s="359"/>
      <c r="CA6" s="360"/>
      <c r="CB6" s="358" t="s">
        <v>157</v>
      </c>
      <c r="CC6" s="359"/>
      <c r="CD6" s="359"/>
      <c r="CE6" s="360"/>
      <c r="CF6" s="358" t="s">
        <v>158</v>
      </c>
      <c r="CG6" s="359"/>
      <c r="CH6" s="359"/>
      <c r="CI6" s="360"/>
      <c r="CJ6" s="358" t="s">
        <v>159</v>
      </c>
      <c r="CK6" s="359"/>
      <c r="CL6" s="359"/>
      <c r="CM6" s="360"/>
      <c r="CN6" s="358" t="s">
        <v>160</v>
      </c>
      <c r="CO6" s="359"/>
      <c r="CP6" s="359"/>
      <c r="CQ6" s="360"/>
      <c r="CR6" s="358" t="s">
        <v>161</v>
      </c>
      <c r="CS6" s="359"/>
      <c r="CT6" s="359"/>
      <c r="CU6" s="360"/>
      <c r="CV6" s="358" t="s">
        <v>162</v>
      </c>
      <c r="CW6" s="359"/>
      <c r="CX6" s="359"/>
      <c r="CY6" s="360"/>
    </row>
    <row r="7" spans="1:116" x14ac:dyDescent="0.25">
      <c r="A7" s="367" t="s">
        <v>145</v>
      </c>
      <c r="B7" s="367"/>
      <c r="C7" s="367"/>
      <c r="D7" s="367"/>
      <c r="E7" s="367"/>
      <c r="F7" s="367"/>
      <c r="G7" s="28"/>
      <c r="H7" s="54">
        <v>1</v>
      </c>
      <c r="I7" s="55">
        <v>2</v>
      </c>
      <c r="J7" s="55">
        <v>3</v>
      </c>
      <c r="K7" s="55">
        <v>4</v>
      </c>
      <c r="L7" s="54">
        <v>1</v>
      </c>
      <c r="M7" s="55">
        <v>2</v>
      </c>
      <c r="N7" s="55">
        <v>3</v>
      </c>
      <c r="O7" s="55">
        <v>4</v>
      </c>
      <c r="P7" s="54">
        <v>1</v>
      </c>
      <c r="Q7" s="55">
        <v>2</v>
      </c>
      <c r="R7" s="55">
        <v>3</v>
      </c>
      <c r="S7" s="55">
        <v>4</v>
      </c>
      <c r="T7" s="54">
        <v>1</v>
      </c>
      <c r="U7" s="55">
        <v>2</v>
      </c>
      <c r="V7" s="55">
        <v>3</v>
      </c>
      <c r="W7" s="55">
        <v>4</v>
      </c>
      <c r="X7" s="54">
        <v>1</v>
      </c>
      <c r="Y7" s="55">
        <v>2</v>
      </c>
      <c r="Z7" s="55">
        <v>3</v>
      </c>
      <c r="AA7" s="55">
        <v>4</v>
      </c>
      <c r="AB7" s="54">
        <v>1</v>
      </c>
      <c r="AC7" s="55">
        <v>2</v>
      </c>
      <c r="AD7" s="55">
        <v>3</v>
      </c>
      <c r="AE7" s="55">
        <v>4</v>
      </c>
      <c r="AF7" s="54">
        <v>1</v>
      </c>
      <c r="AG7" s="55">
        <v>2</v>
      </c>
      <c r="AH7" s="55">
        <v>3</v>
      </c>
      <c r="AI7" s="55">
        <v>4</v>
      </c>
      <c r="AJ7" s="54">
        <v>1</v>
      </c>
      <c r="AK7" s="55">
        <v>2</v>
      </c>
      <c r="AL7" s="55">
        <v>3</v>
      </c>
      <c r="AM7" s="55">
        <v>4</v>
      </c>
      <c r="AN7" s="54">
        <v>1</v>
      </c>
      <c r="AO7" s="55">
        <v>2</v>
      </c>
      <c r="AP7" s="55">
        <v>3</v>
      </c>
      <c r="AQ7" s="55">
        <v>4</v>
      </c>
      <c r="AR7" s="54">
        <v>1</v>
      </c>
      <c r="AS7" s="55">
        <v>2</v>
      </c>
      <c r="AT7" s="55">
        <v>3</v>
      </c>
      <c r="AU7" s="55">
        <v>4</v>
      </c>
      <c r="AV7" s="54">
        <v>1</v>
      </c>
      <c r="AW7" s="55">
        <v>2</v>
      </c>
      <c r="AX7" s="55">
        <v>3</v>
      </c>
      <c r="AY7" s="55">
        <v>4</v>
      </c>
      <c r="AZ7" s="54">
        <v>1</v>
      </c>
      <c r="BA7" s="55">
        <v>2</v>
      </c>
      <c r="BB7" s="55">
        <v>3</v>
      </c>
      <c r="BC7" s="55">
        <v>4</v>
      </c>
      <c r="BD7" s="54">
        <v>1</v>
      </c>
      <c r="BE7" s="55">
        <v>2</v>
      </c>
      <c r="BF7" s="55">
        <v>3</v>
      </c>
      <c r="BG7" s="55">
        <v>4</v>
      </c>
      <c r="BH7" s="54">
        <v>1</v>
      </c>
      <c r="BI7" s="55">
        <v>2</v>
      </c>
      <c r="BJ7" s="55">
        <v>3</v>
      </c>
      <c r="BK7" s="55">
        <v>4</v>
      </c>
      <c r="BL7" s="54">
        <v>1</v>
      </c>
      <c r="BM7" s="55">
        <v>2</v>
      </c>
      <c r="BN7" s="55">
        <v>3</v>
      </c>
      <c r="BO7" s="55">
        <v>4</v>
      </c>
      <c r="BP7" s="54">
        <v>1</v>
      </c>
      <c r="BQ7" s="55">
        <v>2</v>
      </c>
      <c r="BR7" s="55">
        <v>3</v>
      </c>
      <c r="BS7" s="55">
        <v>4</v>
      </c>
      <c r="BT7" s="54">
        <v>1</v>
      </c>
      <c r="BU7" s="55">
        <v>2</v>
      </c>
      <c r="BV7" s="55">
        <v>3</v>
      </c>
      <c r="BW7" s="55">
        <v>4</v>
      </c>
      <c r="BX7" s="54">
        <v>1</v>
      </c>
      <c r="BY7" s="55">
        <v>2</v>
      </c>
      <c r="BZ7" s="55">
        <v>3</v>
      </c>
      <c r="CA7" s="55">
        <v>4</v>
      </c>
      <c r="CB7" s="54">
        <v>1</v>
      </c>
      <c r="CC7" s="55">
        <v>2</v>
      </c>
      <c r="CD7" s="55">
        <v>3</v>
      </c>
      <c r="CE7" s="55">
        <v>4</v>
      </c>
      <c r="CF7" s="54">
        <v>1</v>
      </c>
      <c r="CG7" s="55">
        <v>2</v>
      </c>
      <c r="CH7" s="55">
        <v>3</v>
      </c>
      <c r="CI7" s="55">
        <v>4</v>
      </c>
      <c r="CJ7" s="54">
        <v>1</v>
      </c>
      <c r="CK7" s="55">
        <v>2</v>
      </c>
      <c r="CL7" s="55">
        <v>3</v>
      </c>
      <c r="CM7" s="55">
        <v>4</v>
      </c>
      <c r="CN7" s="54">
        <v>1</v>
      </c>
      <c r="CO7" s="55">
        <v>2</v>
      </c>
      <c r="CP7" s="55">
        <v>3</v>
      </c>
      <c r="CQ7" s="55">
        <v>4</v>
      </c>
      <c r="CR7" s="54">
        <v>1</v>
      </c>
      <c r="CS7" s="55">
        <v>2</v>
      </c>
      <c r="CT7" s="55">
        <v>3</v>
      </c>
      <c r="CU7" s="55">
        <v>4</v>
      </c>
      <c r="CV7" s="54">
        <v>1</v>
      </c>
      <c r="CW7" s="55">
        <v>2</v>
      </c>
      <c r="CX7" s="55">
        <v>3</v>
      </c>
      <c r="CY7" s="55">
        <v>4</v>
      </c>
    </row>
    <row r="8" spans="1:116" ht="15" customHeight="1" x14ac:dyDescent="0.25">
      <c r="A8" s="33"/>
      <c r="B8" s="53" t="s">
        <v>163</v>
      </c>
      <c r="C8" s="35"/>
      <c r="D8" s="34"/>
      <c r="E8" s="35"/>
      <c r="F8" s="35"/>
      <c r="G8" s="356"/>
      <c r="H8" s="356"/>
      <c r="I8" s="356"/>
      <c r="J8" s="356"/>
      <c r="K8" s="356"/>
      <c r="L8" s="356"/>
      <c r="M8" s="356"/>
      <c r="N8" s="356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56"/>
      <c r="AM8" s="356"/>
      <c r="AN8" s="356"/>
      <c r="AO8" s="356"/>
      <c r="AP8" s="356"/>
      <c r="AQ8" s="356"/>
      <c r="AR8" s="356"/>
      <c r="AS8" s="356"/>
      <c r="AT8" s="356"/>
      <c r="AU8" s="356"/>
      <c r="AV8" s="356"/>
      <c r="AW8" s="356"/>
      <c r="AX8" s="356"/>
      <c r="AY8" s="356"/>
      <c r="AZ8" s="356"/>
      <c r="BA8" s="356"/>
      <c r="BB8" s="356"/>
      <c r="BC8" s="356"/>
      <c r="BD8" s="356"/>
      <c r="BE8" s="356"/>
      <c r="BF8" s="356"/>
      <c r="BG8" s="356"/>
      <c r="BH8" s="356"/>
      <c r="BI8" s="356"/>
      <c r="BJ8" s="356"/>
      <c r="BK8" s="356"/>
      <c r="BL8" s="356"/>
      <c r="BM8" s="356"/>
      <c r="BN8" s="356"/>
      <c r="BO8" s="356"/>
      <c r="BP8" s="356"/>
      <c r="BQ8" s="356"/>
      <c r="BR8" s="356"/>
      <c r="BS8" s="356"/>
      <c r="BT8" s="356"/>
      <c r="BU8" s="356"/>
      <c r="BV8" s="356"/>
      <c r="BW8" s="356"/>
      <c r="BX8" s="356"/>
      <c r="BY8" s="356"/>
      <c r="BZ8" s="356"/>
      <c r="CA8" s="356"/>
      <c r="CB8" s="356"/>
      <c r="CC8" s="356"/>
      <c r="CD8" s="356"/>
      <c r="CE8" s="356"/>
      <c r="CF8" s="356"/>
      <c r="CG8" s="356"/>
      <c r="CH8" s="356"/>
      <c r="CI8" s="356"/>
      <c r="CJ8" s="356"/>
      <c r="CK8" s="356"/>
      <c r="CL8" s="356"/>
      <c r="CM8" s="356"/>
      <c r="CN8" s="356"/>
      <c r="CO8" s="356"/>
      <c r="CP8" s="356"/>
      <c r="CQ8" s="356"/>
      <c r="CR8" s="356"/>
      <c r="CS8" s="356"/>
      <c r="CT8" s="356"/>
      <c r="CU8" s="356"/>
      <c r="CV8" s="356"/>
      <c r="CW8" s="356"/>
      <c r="CX8" s="356"/>
      <c r="CY8" s="356"/>
      <c r="DC8" s="31"/>
      <c r="DD8" s="31"/>
      <c r="DE8" s="31"/>
      <c r="DF8" s="31"/>
      <c r="DG8" s="31"/>
      <c r="DH8" s="31"/>
      <c r="DI8" s="31"/>
      <c r="DJ8" s="31"/>
      <c r="DK8" s="31"/>
      <c r="DL8" s="31"/>
    </row>
    <row r="9" spans="1:116" x14ac:dyDescent="0.25">
      <c r="A9" s="51" t="s">
        <v>164</v>
      </c>
      <c r="B9" s="48" t="s">
        <v>165</v>
      </c>
      <c r="C9" s="49" t="s">
        <v>166</v>
      </c>
      <c r="D9" s="50">
        <v>1</v>
      </c>
      <c r="E9" s="58">
        <v>45566</v>
      </c>
      <c r="F9" s="58">
        <v>45573</v>
      </c>
      <c r="G9" s="30"/>
      <c r="H9" s="132"/>
      <c r="I9" s="133"/>
      <c r="J9" s="133"/>
      <c r="K9" s="134"/>
      <c r="L9" s="133"/>
      <c r="M9" s="133"/>
      <c r="N9" s="133"/>
      <c r="O9" s="134"/>
      <c r="P9" s="133"/>
      <c r="Q9" s="133"/>
      <c r="R9" s="133"/>
      <c r="S9" s="134"/>
      <c r="T9" s="133"/>
      <c r="U9" s="133"/>
      <c r="V9" s="133"/>
      <c r="W9" s="134"/>
      <c r="X9" s="133"/>
      <c r="Y9" s="133"/>
      <c r="Z9" s="133"/>
      <c r="AA9" s="134"/>
      <c r="AB9" s="133"/>
      <c r="AC9" s="133"/>
      <c r="AD9" s="133"/>
      <c r="AE9" s="134"/>
      <c r="AF9" s="133"/>
      <c r="AG9" s="133"/>
      <c r="AH9" s="133"/>
      <c r="AI9" s="134"/>
      <c r="AJ9" s="133"/>
      <c r="AK9" s="133"/>
      <c r="AL9" s="133"/>
      <c r="AM9" s="134"/>
      <c r="AN9" s="133"/>
      <c r="AO9" s="133"/>
      <c r="AP9" s="133"/>
      <c r="AQ9" s="134"/>
      <c r="AR9" s="133"/>
      <c r="AS9" s="133"/>
      <c r="AT9" s="133"/>
      <c r="AU9" s="134"/>
      <c r="AV9" s="133"/>
      <c r="AW9" s="133"/>
      <c r="AX9" s="133"/>
      <c r="AY9" s="134"/>
      <c r="AZ9" s="133"/>
      <c r="BA9" s="133"/>
      <c r="BB9" s="133"/>
      <c r="BC9" s="134"/>
      <c r="BD9" s="133"/>
      <c r="BE9" s="133"/>
      <c r="BF9" s="133"/>
      <c r="BG9" s="134"/>
      <c r="BH9" s="133"/>
      <c r="BI9" s="133"/>
      <c r="BJ9" s="133"/>
      <c r="BK9" s="134"/>
      <c r="BL9" s="133"/>
      <c r="BM9" s="133"/>
      <c r="BN9" s="133"/>
      <c r="BO9" s="134"/>
      <c r="BP9" s="133"/>
      <c r="BQ9" s="133"/>
      <c r="BR9" s="133"/>
      <c r="BS9" s="134"/>
      <c r="BT9" s="133"/>
      <c r="BU9" s="133"/>
      <c r="BV9" s="133"/>
      <c r="BW9" s="134"/>
      <c r="BX9" s="133"/>
      <c r="BY9" s="133"/>
      <c r="BZ9" s="133"/>
      <c r="CA9" s="134"/>
      <c r="CB9" s="133"/>
      <c r="CC9" s="133"/>
      <c r="CD9" s="133"/>
      <c r="CE9" s="134"/>
      <c r="CF9" s="133"/>
      <c r="CG9" s="133"/>
      <c r="CH9" s="133"/>
      <c r="CI9" s="134"/>
      <c r="CJ9" s="133"/>
      <c r="CK9" s="133"/>
      <c r="CL9" s="133"/>
      <c r="CM9" s="134"/>
      <c r="CN9" s="133"/>
      <c r="CO9" s="133"/>
      <c r="CP9" s="133"/>
      <c r="CQ9" s="134"/>
      <c r="CR9" s="133"/>
      <c r="CS9" s="133"/>
      <c r="CT9" s="133"/>
      <c r="CU9" s="134"/>
      <c r="CV9" s="133"/>
      <c r="CW9" s="133"/>
      <c r="CX9" s="133"/>
      <c r="CY9" s="134"/>
      <c r="CZ9" s="119"/>
      <c r="DA9" s="31"/>
      <c r="DB9" s="31"/>
    </row>
    <row r="10" spans="1:116" x14ac:dyDescent="0.25">
      <c r="A10" s="51" t="s">
        <v>167</v>
      </c>
      <c r="B10" s="48" t="s">
        <v>0</v>
      </c>
      <c r="C10" s="49" t="s">
        <v>168</v>
      </c>
      <c r="D10" s="50">
        <v>1</v>
      </c>
      <c r="E10" s="58">
        <v>45569</v>
      </c>
      <c r="F10" s="58">
        <v>45573</v>
      </c>
      <c r="G10" s="30"/>
      <c r="H10" s="135"/>
      <c r="I10" s="136"/>
      <c r="J10" s="136"/>
      <c r="K10" s="137"/>
      <c r="L10" s="136"/>
      <c r="M10" s="136"/>
      <c r="N10" s="136"/>
      <c r="O10" s="137"/>
      <c r="P10" s="136"/>
      <c r="Q10" s="136"/>
      <c r="R10" s="136"/>
      <c r="S10" s="137"/>
      <c r="T10" s="136"/>
      <c r="U10" s="136"/>
      <c r="V10" s="136"/>
      <c r="W10" s="137"/>
      <c r="X10" s="136"/>
      <c r="Y10" s="136"/>
      <c r="Z10" s="136"/>
      <c r="AA10" s="137"/>
      <c r="AB10" s="136"/>
      <c r="AC10" s="136"/>
      <c r="AD10" s="136"/>
      <c r="AE10" s="137"/>
      <c r="AF10" s="136"/>
      <c r="AG10" s="136"/>
      <c r="AH10" s="136"/>
      <c r="AI10" s="137"/>
      <c r="AJ10" s="136"/>
      <c r="AK10" s="136"/>
      <c r="AL10" s="136"/>
      <c r="AM10" s="137"/>
      <c r="AN10" s="136"/>
      <c r="AO10" s="136"/>
      <c r="AP10" s="136"/>
      <c r="AQ10" s="137"/>
      <c r="AR10" s="136"/>
      <c r="AS10" s="136"/>
      <c r="AT10" s="136"/>
      <c r="AU10" s="137"/>
      <c r="AV10" s="136"/>
      <c r="AW10" s="136"/>
      <c r="AX10" s="136"/>
      <c r="AY10" s="137"/>
      <c r="AZ10" s="136"/>
      <c r="BA10" s="136"/>
      <c r="BB10" s="136"/>
      <c r="BC10" s="137"/>
      <c r="BD10" s="136"/>
      <c r="BE10" s="136"/>
      <c r="BF10" s="136"/>
      <c r="BG10" s="137"/>
      <c r="BH10" s="136"/>
      <c r="BI10" s="136"/>
      <c r="BJ10" s="136"/>
      <c r="BK10" s="137"/>
      <c r="BL10" s="136"/>
      <c r="BM10" s="136"/>
      <c r="BN10" s="136"/>
      <c r="BO10" s="137"/>
      <c r="BP10" s="136"/>
      <c r="BQ10" s="136"/>
      <c r="BR10" s="136"/>
      <c r="BS10" s="137"/>
      <c r="BT10" s="136"/>
      <c r="BU10" s="136"/>
      <c r="BV10" s="136"/>
      <c r="BW10" s="137"/>
      <c r="BX10" s="136"/>
      <c r="BY10" s="136"/>
      <c r="BZ10" s="136"/>
      <c r="CA10" s="137"/>
      <c r="CB10" s="136"/>
      <c r="CC10" s="136"/>
      <c r="CD10" s="136"/>
      <c r="CE10" s="137"/>
      <c r="CF10" s="136"/>
      <c r="CG10" s="136"/>
      <c r="CH10" s="136"/>
      <c r="CI10" s="137"/>
      <c r="CJ10" s="136"/>
      <c r="CK10" s="136"/>
      <c r="CL10" s="136"/>
      <c r="CM10" s="137"/>
      <c r="CN10" s="136"/>
      <c r="CO10" s="136"/>
      <c r="CP10" s="136"/>
      <c r="CQ10" s="137"/>
      <c r="CR10" s="136"/>
      <c r="CS10" s="136"/>
      <c r="CT10" s="136"/>
      <c r="CU10" s="137"/>
      <c r="CV10" s="136"/>
      <c r="CW10" s="136"/>
      <c r="CX10" s="136"/>
      <c r="CY10" s="137"/>
      <c r="DA10" s="31"/>
      <c r="DB10" s="31"/>
    </row>
    <row r="11" spans="1:116" x14ac:dyDescent="0.25">
      <c r="A11" s="51" t="s">
        <v>169</v>
      </c>
      <c r="B11" s="48" t="s">
        <v>170</v>
      </c>
      <c r="C11" s="49" t="s">
        <v>166</v>
      </c>
      <c r="D11" s="50">
        <v>1</v>
      </c>
      <c r="E11" s="58">
        <v>45572</v>
      </c>
      <c r="F11" s="58">
        <v>45579</v>
      </c>
      <c r="G11" s="30"/>
      <c r="H11" s="136"/>
      <c r="I11" s="135"/>
      <c r="J11" s="135"/>
      <c r="K11" s="137"/>
      <c r="L11" s="136"/>
      <c r="M11" s="136"/>
      <c r="N11" s="136"/>
      <c r="O11" s="137"/>
      <c r="P11" s="136"/>
      <c r="Q11" s="136"/>
      <c r="R11" s="136"/>
      <c r="S11" s="137"/>
      <c r="T11" s="136"/>
      <c r="U11" s="136"/>
      <c r="V11" s="136"/>
      <c r="W11" s="137"/>
      <c r="X11" s="136"/>
      <c r="Y11" s="136"/>
      <c r="Z11" s="136"/>
      <c r="AA11" s="137"/>
      <c r="AB11" s="136"/>
      <c r="AC11" s="136"/>
      <c r="AD11" s="136"/>
      <c r="AE11" s="137"/>
      <c r="AF11" s="136"/>
      <c r="AG11" s="136"/>
      <c r="AH11" s="136"/>
      <c r="AI11" s="137"/>
      <c r="AJ11" s="136"/>
      <c r="AK11" s="136"/>
      <c r="AL11" s="136"/>
      <c r="AM11" s="137"/>
      <c r="AN11" s="136"/>
      <c r="AO11" s="136"/>
      <c r="AP11" s="136"/>
      <c r="AQ11" s="137"/>
      <c r="AR11" s="136"/>
      <c r="AS11" s="136"/>
      <c r="AT11" s="136"/>
      <c r="AU11" s="137"/>
      <c r="AV11" s="136"/>
      <c r="AW11" s="136"/>
      <c r="AX11" s="136"/>
      <c r="AY11" s="137"/>
      <c r="AZ11" s="136"/>
      <c r="BA11" s="136"/>
      <c r="BB11" s="136"/>
      <c r="BC11" s="137"/>
      <c r="BD11" s="136"/>
      <c r="BE11" s="136"/>
      <c r="BF11" s="136"/>
      <c r="BG11" s="137"/>
      <c r="BH11" s="136"/>
      <c r="BI11" s="136"/>
      <c r="BJ11" s="136"/>
      <c r="BK11" s="137"/>
      <c r="BL11" s="136"/>
      <c r="BM11" s="136"/>
      <c r="BN11" s="136"/>
      <c r="BO11" s="137"/>
      <c r="BP11" s="136"/>
      <c r="BQ11" s="136"/>
      <c r="BR11" s="136"/>
      <c r="BS11" s="137"/>
      <c r="BT11" s="136"/>
      <c r="BU11" s="136"/>
      <c r="BV11" s="136"/>
      <c r="BW11" s="137"/>
      <c r="BX11" s="136"/>
      <c r="BY11" s="136"/>
      <c r="BZ11" s="136"/>
      <c r="CA11" s="137"/>
      <c r="CB11" s="136"/>
      <c r="CC11" s="136"/>
      <c r="CD11" s="136"/>
      <c r="CE11" s="137"/>
      <c r="CF11" s="136"/>
      <c r="CG11" s="136"/>
      <c r="CH11" s="136"/>
      <c r="CI11" s="137"/>
      <c r="CJ11" s="136"/>
      <c r="CK11" s="136"/>
      <c r="CL11" s="136"/>
      <c r="CM11" s="137"/>
      <c r="CN11" s="136"/>
      <c r="CO11" s="136"/>
      <c r="CP11" s="136"/>
      <c r="CQ11" s="137"/>
      <c r="CR11" s="136"/>
      <c r="CS11" s="136"/>
      <c r="CT11" s="136"/>
      <c r="CU11" s="137"/>
      <c r="CV11" s="136"/>
      <c r="CW11" s="136"/>
      <c r="CX11" s="136"/>
      <c r="CY11" s="137"/>
      <c r="DC11" s="31"/>
      <c r="DD11" s="31"/>
      <c r="DE11" s="31"/>
      <c r="DF11" s="31"/>
      <c r="DG11" s="31"/>
      <c r="DH11" s="31"/>
      <c r="DI11" s="31"/>
      <c r="DJ11" s="31"/>
      <c r="DK11" s="31"/>
      <c r="DL11" s="31"/>
    </row>
    <row r="12" spans="1:116" x14ac:dyDescent="0.25">
      <c r="A12" s="203" t="s">
        <v>171</v>
      </c>
      <c r="B12" s="48" t="s">
        <v>172</v>
      </c>
      <c r="C12" s="49"/>
      <c r="D12" s="207" t="s">
        <v>173</v>
      </c>
      <c r="E12" s="58"/>
      <c r="F12" s="58">
        <v>45580</v>
      </c>
      <c r="G12" s="30"/>
      <c r="H12" s="136"/>
      <c r="I12" s="136"/>
      <c r="J12" s="136"/>
      <c r="K12" s="137" t="s">
        <v>174</v>
      </c>
      <c r="L12" s="136"/>
      <c r="M12" s="136"/>
      <c r="N12" s="136"/>
      <c r="O12" s="137"/>
      <c r="P12" s="136"/>
      <c r="Q12" s="136"/>
      <c r="R12" s="136"/>
      <c r="S12" s="137"/>
      <c r="T12" s="136"/>
      <c r="U12" s="136"/>
      <c r="V12" s="136"/>
      <c r="W12" s="137"/>
      <c r="X12" s="136"/>
      <c r="Y12" s="136"/>
      <c r="Z12" s="136"/>
      <c r="AA12" s="137"/>
      <c r="AB12" s="136"/>
      <c r="AC12" s="136"/>
      <c r="AD12" s="136"/>
      <c r="AE12" s="137"/>
      <c r="AF12" s="136"/>
      <c r="AG12" s="136"/>
      <c r="AH12" s="136"/>
      <c r="AI12" s="137"/>
      <c r="AJ12" s="136"/>
      <c r="AK12" s="136"/>
      <c r="AL12" s="136"/>
      <c r="AM12" s="137"/>
      <c r="AN12" s="136"/>
      <c r="AO12" s="136"/>
      <c r="AP12" s="136"/>
      <c r="AQ12" s="137"/>
      <c r="AR12" s="136"/>
      <c r="AS12" s="136"/>
      <c r="AT12" s="136"/>
      <c r="AU12" s="137"/>
      <c r="AV12" s="136"/>
      <c r="AW12" s="136"/>
      <c r="AX12" s="136"/>
      <c r="AY12" s="137"/>
      <c r="AZ12" s="136"/>
      <c r="BA12" s="136"/>
      <c r="BB12" s="136"/>
      <c r="BC12" s="137"/>
      <c r="BD12" s="136"/>
      <c r="BE12" s="136"/>
      <c r="BF12" s="136"/>
      <c r="BG12" s="137"/>
      <c r="BH12" s="136"/>
      <c r="BI12" s="136"/>
      <c r="BJ12" s="136"/>
      <c r="BK12" s="137"/>
      <c r="BL12" s="136"/>
      <c r="BM12" s="136"/>
      <c r="BN12" s="136"/>
      <c r="BO12" s="137"/>
      <c r="BP12" s="136"/>
      <c r="BQ12" s="136"/>
      <c r="BR12" s="136"/>
      <c r="BS12" s="137"/>
      <c r="BT12" s="136"/>
      <c r="BU12" s="136"/>
      <c r="BV12" s="136"/>
      <c r="BW12" s="137"/>
      <c r="BX12" s="136"/>
      <c r="BY12" s="136"/>
      <c r="BZ12" s="136"/>
      <c r="CA12" s="137"/>
      <c r="CB12" s="136"/>
      <c r="CC12" s="136"/>
      <c r="CD12" s="136"/>
      <c r="CE12" s="137"/>
      <c r="CF12" s="136"/>
      <c r="CG12" s="136"/>
      <c r="CH12" s="136"/>
      <c r="CI12" s="137"/>
      <c r="CJ12" s="136"/>
      <c r="CK12" s="136"/>
      <c r="CL12" s="136"/>
      <c r="CM12" s="137"/>
      <c r="CN12" s="136"/>
      <c r="CO12" s="136"/>
      <c r="CP12" s="136"/>
      <c r="CQ12" s="137"/>
      <c r="CR12" s="136"/>
      <c r="CS12" s="136"/>
      <c r="CT12" s="136"/>
      <c r="CU12" s="137"/>
      <c r="CV12" s="136"/>
      <c r="CW12" s="136"/>
      <c r="CX12" s="136"/>
      <c r="CY12" s="137"/>
      <c r="DC12" s="28"/>
      <c r="DD12" s="28"/>
      <c r="DE12" s="28"/>
      <c r="DF12" s="28"/>
      <c r="DG12" s="28"/>
      <c r="DH12" s="28"/>
      <c r="DI12" s="28"/>
      <c r="DJ12" s="28"/>
      <c r="DK12" s="28"/>
      <c r="DL12" s="28"/>
    </row>
    <row r="13" spans="1:116" x14ac:dyDescent="0.25">
      <c r="A13" s="51" t="s">
        <v>175</v>
      </c>
      <c r="B13" s="45" t="s">
        <v>176</v>
      </c>
      <c r="C13" s="46" t="s">
        <v>166</v>
      </c>
      <c r="D13" s="47">
        <v>1</v>
      </c>
      <c r="E13" s="58">
        <v>45572</v>
      </c>
      <c r="F13" s="58">
        <v>45579</v>
      </c>
      <c r="G13" s="30"/>
      <c r="H13" s="136"/>
      <c r="I13" s="135"/>
      <c r="J13" s="135"/>
      <c r="K13" s="137"/>
      <c r="L13" s="136"/>
      <c r="M13" s="136"/>
      <c r="N13" s="136"/>
      <c r="O13" s="137"/>
      <c r="P13" s="136"/>
      <c r="Q13" s="136"/>
      <c r="R13" s="136"/>
      <c r="S13" s="137"/>
      <c r="T13" s="136"/>
      <c r="U13" s="136"/>
      <c r="V13" s="136"/>
      <c r="W13" s="137"/>
      <c r="X13" s="136"/>
      <c r="Y13" s="136"/>
      <c r="Z13" s="136"/>
      <c r="AA13" s="137"/>
      <c r="AB13" s="136"/>
      <c r="AC13" s="136"/>
      <c r="AD13" s="136"/>
      <c r="AE13" s="137"/>
      <c r="AF13" s="136"/>
      <c r="AG13" s="136"/>
      <c r="AH13" s="136"/>
      <c r="AI13" s="137"/>
      <c r="AJ13" s="136"/>
      <c r="AK13" s="136"/>
      <c r="AL13" s="136"/>
      <c r="AM13" s="137"/>
      <c r="AN13" s="136"/>
      <c r="AO13" s="136"/>
      <c r="AP13" s="136"/>
      <c r="AQ13" s="137"/>
      <c r="AR13" s="136"/>
      <c r="AS13" s="136"/>
      <c r="AT13" s="136"/>
      <c r="AU13" s="137"/>
      <c r="AV13" s="136"/>
      <c r="AW13" s="136"/>
      <c r="AX13" s="136"/>
      <c r="AY13" s="137"/>
      <c r="AZ13" s="136"/>
      <c r="BA13" s="136"/>
      <c r="BB13" s="136"/>
      <c r="BC13" s="137"/>
      <c r="BD13" s="136"/>
      <c r="BE13" s="136"/>
      <c r="BF13" s="136"/>
      <c r="BG13" s="137"/>
      <c r="BH13" s="136"/>
      <c r="BI13" s="136"/>
      <c r="BJ13" s="136"/>
      <c r="BK13" s="137"/>
      <c r="BL13" s="136"/>
      <c r="BM13" s="136"/>
      <c r="BN13" s="136"/>
      <c r="BO13" s="137"/>
      <c r="BP13" s="136"/>
      <c r="BQ13" s="136"/>
      <c r="BR13" s="136"/>
      <c r="BS13" s="137"/>
      <c r="BT13" s="136"/>
      <c r="BU13" s="136"/>
      <c r="BV13" s="136"/>
      <c r="BW13" s="137"/>
      <c r="BX13" s="136"/>
      <c r="BY13" s="136"/>
      <c r="BZ13" s="136"/>
      <c r="CA13" s="137"/>
      <c r="CB13" s="136"/>
      <c r="CC13" s="136"/>
      <c r="CD13" s="136"/>
      <c r="CE13" s="137"/>
      <c r="CF13" s="136"/>
      <c r="CG13" s="136"/>
      <c r="CH13" s="136"/>
      <c r="CI13" s="137"/>
      <c r="CJ13" s="136"/>
      <c r="CK13" s="136"/>
      <c r="CL13" s="136"/>
      <c r="CM13" s="137"/>
      <c r="CN13" s="136"/>
      <c r="CO13" s="136"/>
      <c r="CP13" s="136"/>
      <c r="CQ13" s="137"/>
      <c r="CR13" s="136"/>
      <c r="CS13" s="136"/>
      <c r="CT13" s="136"/>
      <c r="CU13" s="137"/>
      <c r="CV13" s="136"/>
      <c r="CW13" s="136"/>
      <c r="CX13" s="136"/>
      <c r="CY13" s="137"/>
    </row>
    <row r="14" spans="1:116" x14ac:dyDescent="0.25">
      <c r="A14" s="51" t="s">
        <v>177</v>
      </c>
      <c r="B14" s="51" t="s">
        <v>178</v>
      </c>
      <c r="C14" s="52" t="s">
        <v>179</v>
      </c>
      <c r="D14" s="56">
        <v>1</v>
      </c>
      <c r="E14" s="58">
        <v>45572</v>
      </c>
      <c r="F14" s="58">
        <v>45579</v>
      </c>
      <c r="G14" s="30"/>
      <c r="H14" s="136"/>
      <c r="I14" s="135"/>
      <c r="J14" s="135"/>
      <c r="K14" s="137"/>
      <c r="L14" s="136"/>
      <c r="M14" s="136"/>
      <c r="N14" s="136"/>
      <c r="O14" s="137"/>
      <c r="P14" s="136"/>
      <c r="Q14" s="136"/>
      <c r="R14" s="136"/>
      <c r="S14" s="137"/>
      <c r="T14" s="136"/>
      <c r="U14" s="136"/>
      <c r="V14" s="136"/>
      <c r="W14" s="137"/>
      <c r="X14" s="136"/>
      <c r="Y14" s="136"/>
      <c r="Z14" s="136"/>
      <c r="AA14" s="137"/>
      <c r="AB14" s="136"/>
      <c r="AC14" s="136"/>
      <c r="AD14" s="136"/>
      <c r="AE14" s="137"/>
      <c r="AF14" s="136"/>
      <c r="AG14" s="136"/>
      <c r="AH14" s="136"/>
      <c r="AI14" s="137"/>
      <c r="AJ14" s="136"/>
      <c r="AK14" s="136"/>
      <c r="AL14" s="136"/>
      <c r="AM14" s="137"/>
      <c r="AN14" s="136"/>
      <c r="AO14" s="136"/>
      <c r="AP14" s="136"/>
      <c r="AQ14" s="137"/>
      <c r="AR14" s="136"/>
      <c r="AS14" s="136"/>
      <c r="AT14" s="136"/>
      <c r="AU14" s="137"/>
      <c r="AV14" s="136"/>
      <c r="AW14" s="136"/>
      <c r="AX14" s="136"/>
      <c r="AY14" s="137"/>
      <c r="AZ14" s="136"/>
      <c r="BA14" s="136"/>
      <c r="BB14" s="136"/>
      <c r="BC14" s="137"/>
      <c r="BD14" s="136"/>
      <c r="BE14" s="136"/>
      <c r="BF14" s="136"/>
      <c r="BG14" s="137"/>
      <c r="BH14" s="136"/>
      <c r="BI14" s="136"/>
      <c r="BJ14" s="136"/>
      <c r="BK14" s="137"/>
      <c r="BL14" s="136"/>
      <c r="BM14" s="136"/>
      <c r="BN14" s="136"/>
      <c r="BO14" s="137"/>
      <c r="BP14" s="136"/>
      <c r="BQ14" s="136"/>
      <c r="BR14" s="136"/>
      <c r="BS14" s="137"/>
      <c r="BT14" s="136"/>
      <c r="BU14" s="136"/>
      <c r="BV14" s="136"/>
      <c r="BW14" s="137"/>
      <c r="BX14" s="136"/>
      <c r="BY14" s="136"/>
      <c r="BZ14" s="136"/>
      <c r="CA14" s="137"/>
      <c r="CB14" s="136"/>
      <c r="CC14" s="136"/>
      <c r="CD14" s="136"/>
      <c r="CE14" s="137"/>
      <c r="CF14" s="136"/>
      <c r="CG14" s="136"/>
      <c r="CH14" s="136"/>
      <c r="CI14" s="137"/>
      <c r="CJ14" s="136"/>
      <c r="CK14" s="136"/>
      <c r="CL14" s="136"/>
      <c r="CM14" s="137"/>
      <c r="CN14" s="136"/>
      <c r="CO14" s="136"/>
      <c r="CP14" s="136"/>
      <c r="CQ14" s="137"/>
      <c r="CR14" s="136"/>
      <c r="CS14" s="136"/>
      <c r="CT14" s="136"/>
      <c r="CU14" s="137"/>
      <c r="CV14" s="136"/>
      <c r="CW14" s="136"/>
      <c r="CX14" s="136"/>
      <c r="CY14" s="137"/>
      <c r="CZ14" s="119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</row>
    <row r="15" spans="1:116" ht="15" customHeight="1" x14ac:dyDescent="0.25">
      <c r="A15" s="51" t="s">
        <v>180</v>
      </c>
      <c r="B15" s="51" t="s">
        <v>181</v>
      </c>
      <c r="C15" s="52" t="s">
        <v>179</v>
      </c>
      <c r="D15" s="56">
        <v>1</v>
      </c>
      <c r="E15" s="58">
        <v>45579</v>
      </c>
      <c r="F15" s="58">
        <v>45582</v>
      </c>
      <c r="H15" s="136"/>
      <c r="I15" s="136"/>
      <c r="J15" s="135"/>
      <c r="K15" s="137"/>
      <c r="L15" s="136"/>
      <c r="M15" s="136"/>
      <c r="N15" s="136"/>
      <c r="O15" s="137"/>
      <c r="P15" s="136"/>
      <c r="Q15" s="136"/>
      <c r="R15" s="136"/>
      <c r="S15" s="137"/>
      <c r="T15" s="136"/>
      <c r="U15" s="136"/>
      <c r="V15" s="136"/>
      <c r="W15" s="137"/>
      <c r="X15" s="136"/>
      <c r="Y15" s="136"/>
      <c r="Z15" s="136"/>
      <c r="AA15" s="137"/>
      <c r="AB15" s="136"/>
      <c r="AC15" s="136"/>
      <c r="AD15" s="136"/>
      <c r="AE15" s="137"/>
      <c r="AF15" s="136"/>
      <c r="AG15" s="136"/>
      <c r="AH15" s="136"/>
      <c r="AI15" s="137"/>
      <c r="AJ15" s="136"/>
      <c r="AK15" s="136"/>
      <c r="AL15" s="136"/>
      <c r="AM15" s="137"/>
      <c r="AN15" s="136"/>
      <c r="AO15" s="136"/>
      <c r="AP15" s="136"/>
      <c r="AQ15" s="137"/>
      <c r="AR15" s="136"/>
      <c r="AS15" s="136"/>
      <c r="AT15" s="136"/>
      <c r="AU15" s="137"/>
      <c r="AV15" s="136"/>
      <c r="AW15" s="136"/>
      <c r="AX15" s="136"/>
      <c r="AY15" s="137"/>
      <c r="AZ15" s="136"/>
      <c r="BA15" s="136"/>
      <c r="BB15" s="136"/>
      <c r="BC15" s="137"/>
      <c r="BD15" s="136"/>
      <c r="BE15" s="136"/>
      <c r="BF15" s="136"/>
      <c r="BG15" s="137"/>
      <c r="BH15" s="136"/>
      <c r="BI15" s="136"/>
      <c r="BJ15" s="136"/>
      <c r="BK15" s="137"/>
      <c r="BL15" s="136"/>
      <c r="BM15" s="136"/>
      <c r="BN15" s="136"/>
      <c r="BO15" s="137"/>
      <c r="BP15" s="136"/>
      <c r="BQ15" s="136"/>
      <c r="BR15" s="136"/>
      <c r="BS15" s="137"/>
      <c r="BT15" s="136"/>
      <c r="BU15" s="136"/>
      <c r="BV15" s="136"/>
      <c r="BW15" s="137"/>
      <c r="BX15" s="136"/>
      <c r="BY15" s="136"/>
      <c r="BZ15" s="136"/>
      <c r="CA15" s="137"/>
      <c r="CB15" s="136"/>
      <c r="CC15" s="136"/>
      <c r="CD15" s="136"/>
      <c r="CE15" s="137"/>
      <c r="CF15" s="136"/>
      <c r="CG15" s="136"/>
      <c r="CH15" s="136"/>
      <c r="CI15" s="137"/>
      <c r="CJ15" s="136"/>
      <c r="CK15" s="136"/>
      <c r="CL15" s="136"/>
      <c r="CM15" s="137"/>
      <c r="CN15" s="136"/>
      <c r="CO15" s="136"/>
      <c r="CP15" s="136"/>
      <c r="CQ15" s="137"/>
      <c r="CR15" s="136"/>
      <c r="CS15" s="136"/>
      <c r="CT15" s="136"/>
      <c r="CU15" s="137"/>
      <c r="CV15" s="136"/>
      <c r="CW15" s="136"/>
      <c r="CX15" s="136"/>
      <c r="CY15" s="137"/>
    </row>
    <row r="16" spans="1:116" x14ac:dyDescent="0.25">
      <c r="A16" s="51" t="s">
        <v>182</v>
      </c>
      <c r="B16" s="51" t="s">
        <v>183</v>
      </c>
      <c r="C16" s="52" t="s">
        <v>184</v>
      </c>
      <c r="D16" s="56">
        <v>1</v>
      </c>
      <c r="E16" s="58">
        <v>45581</v>
      </c>
      <c r="F16" s="58">
        <v>45583</v>
      </c>
      <c r="H16" s="136"/>
      <c r="I16" s="136"/>
      <c r="J16" s="135"/>
      <c r="K16" s="137"/>
      <c r="L16" s="136"/>
      <c r="M16" s="136"/>
      <c r="N16" s="136"/>
      <c r="O16" s="137"/>
      <c r="P16" s="136"/>
      <c r="Q16" s="136"/>
      <c r="R16" s="136"/>
      <c r="S16" s="137"/>
      <c r="T16" s="136"/>
      <c r="U16" s="136"/>
      <c r="V16" s="136"/>
      <c r="W16" s="137"/>
      <c r="X16" s="136"/>
      <c r="Y16" s="136"/>
      <c r="Z16" s="136"/>
      <c r="AA16" s="137"/>
      <c r="AB16" s="136"/>
      <c r="AC16" s="136"/>
      <c r="AD16" s="136"/>
      <c r="AE16" s="137"/>
      <c r="AF16" s="136"/>
      <c r="AG16" s="136"/>
      <c r="AH16" s="136"/>
      <c r="AI16" s="137"/>
      <c r="AJ16" s="136"/>
      <c r="AK16" s="136"/>
      <c r="AL16" s="136"/>
      <c r="AM16" s="137"/>
      <c r="AN16" s="136"/>
      <c r="AO16" s="136"/>
      <c r="AP16" s="136"/>
      <c r="AQ16" s="137"/>
      <c r="AR16" s="136"/>
      <c r="AS16" s="136"/>
      <c r="AT16" s="136"/>
      <c r="AU16" s="137"/>
      <c r="AV16" s="136"/>
      <c r="AW16" s="136"/>
      <c r="AX16" s="136"/>
      <c r="AY16" s="137"/>
      <c r="AZ16" s="136"/>
      <c r="BA16" s="136"/>
      <c r="BB16" s="136"/>
      <c r="BC16" s="137"/>
      <c r="BD16" s="136"/>
      <c r="BE16" s="136"/>
      <c r="BF16" s="136"/>
      <c r="BG16" s="137"/>
      <c r="BH16" s="136"/>
      <c r="BI16" s="136"/>
      <c r="BJ16" s="136"/>
      <c r="BK16" s="137"/>
      <c r="BL16" s="136"/>
      <c r="BM16" s="136"/>
      <c r="BN16" s="136"/>
      <c r="BO16" s="137"/>
      <c r="BP16" s="136"/>
      <c r="BQ16" s="136"/>
      <c r="BR16" s="136"/>
      <c r="BS16" s="137"/>
      <c r="BT16" s="136"/>
      <c r="BU16" s="136"/>
      <c r="BV16" s="136"/>
      <c r="BW16" s="137"/>
      <c r="BX16" s="136"/>
      <c r="BY16" s="136"/>
      <c r="BZ16" s="136"/>
      <c r="CA16" s="137"/>
      <c r="CB16" s="136"/>
      <c r="CC16" s="136"/>
      <c r="CD16" s="136"/>
      <c r="CE16" s="137"/>
      <c r="CF16" s="136"/>
      <c r="CG16" s="136"/>
      <c r="CH16" s="136"/>
      <c r="CI16" s="137"/>
      <c r="CJ16" s="136"/>
      <c r="CK16" s="136"/>
      <c r="CL16" s="136"/>
      <c r="CM16" s="137"/>
      <c r="CN16" s="136"/>
      <c r="CO16" s="136"/>
      <c r="CP16" s="136"/>
      <c r="CQ16" s="137"/>
      <c r="CR16" s="136"/>
      <c r="CS16" s="136"/>
      <c r="CT16" s="136"/>
      <c r="CU16" s="137"/>
      <c r="CV16" s="136"/>
      <c r="CW16" s="136"/>
      <c r="CX16" s="136"/>
      <c r="CY16" s="137"/>
    </row>
    <row r="17" spans="1:116" x14ac:dyDescent="0.25">
      <c r="A17" s="51" t="s">
        <v>185</v>
      </c>
      <c r="B17" s="51" t="s">
        <v>186</v>
      </c>
      <c r="C17" s="52" t="s">
        <v>166</v>
      </c>
      <c r="D17" s="56">
        <v>1</v>
      </c>
      <c r="E17" s="58">
        <v>45621</v>
      </c>
      <c r="F17" s="58">
        <v>45594</v>
      </c>
      <c r="H17" s="138"/>
      <c r="I17" s="138"/>
      <c r="J17" s="138"/>
      <c r="K17" s="139"/>
      <c r="L17" s="136"/>
      <c r="M17" s="138"/>
      <c r="N17" s="138"/>
      <c r="O17" s="143"/>
      <c r="P17" s="138"/>
      <c r="Q17" s="138"/>
      <c r="R17" s="138"/>
      <c r="S17" s="143"/>
      <c r="T17" s="138"/>
      <c r="U17" s="138"/>
      <c r="V17" s="138"/>
      <c r="W17" s="143"/>
      <c r="X17" s="138"/>
      <c r="Y17" s="138"/>
      <c r="Z17" s="138"/>
      <c r="AA17" s="143"/>
      <c r="AB17" s="138"/>
      <c r="AC17" s="138"/>
      <c r="AD17" s="138"/>
      <c r="AE17" s="143"/>
      <c r="AF17" s="138"/>
      <c r="AG17" s="138"/>
      <c r="AH17" s="138"/>
      <c r="AI17" s="143"/>
      <c r="AJ17" s="138"/>
      <c r="AK17" s="138"/>
      <c r="AL17" s="138"/>
      <c r="AM17" s="143"/>
      <c r="AN17" s="138"/>
      <c r="AO17" s="138"/>
      <c r="AP17" s="138"/>
      <c r="AQ17" s="143"/>
      <c r="AR17" s="138"/>
      <c r="AS17" s="138"/>
      <c r="AT17" s="138"/>
      <c r="AU17" s="143"/>
      <c r="AV17" s="138"/>
      <c r="AW17" s="138"/>
      <c r="AX17" s="138"/>
      <c r="AY17" s="143"/>
      <c r="AZ17" s="138"/>
      <c r="BA17" s="138"/>
      <c r="BB17" s="138"/>
      <c r="BC17" s="143"/>
      <c r="BD17" s="138"/>
      <c r="BE17" s="138"/>
      <c r="BF17" s="138"/>
      <c r="BG17" s="143"/>
      <c r="BH17" s="138"/>
      <c r="BI17" s="138"/>
      <c r="BJ17" s="138"/>
      <c r="BK17" s="143"/>
      <c r="BL17" s="138"/>
      <c r="BM17" s="138"/>
      <c r="BN17" s="138"/>
      <c r="BO17" s="143"/>
      <c r="BP17" s="138"/>
      <c r="BQ17" s="138"/>
      <c r="BR17" s="138"/>
      <c r="BS17" s="143"/>
      <c r="BT17" s="138"/>
      <c r="BU17" s="138"/>
      <c r="BV17" s="138"/>
      <c r="BW17" s="143"/>
      <c r="BX17" s="138"/>
      <c r="BY17" s="138"/>
      <c r="BZ17" s="138"/>
      <c r="CA17" s="143"/>
      <c r="CB17" s="138"/>
      <c r="CC17" s="138"/>
      <c r="CD17" s="138"/>
      <c r="CE17" s="143"/>
      <c r="CF17" s="138"/>
      <c r="CG17" s="138"/>
      <c r="CH17" s="138"/>
      <c r="CI17" s="143"/>
      <c r="CJ17" s="138"/>
      <c r="CK17" s="138"/>
      <c r="CL17" s="138"/>
      <c r="CM17" s="143"/>
      <c r="CN17" s="138"/>
      <c r="CO17" s="138"/>
      <c r="CP17" s="138"/>
      <c r="CQ17" s="143"/>
      <c r="CR17" s="138"/>
      <c r="CS17" s="138"/>
      <c r="CT17" s="138"/>
      <c r="CU17" s="143"/>
      <c r="CV17" s="138"/>
      <c r="CW17" s="138"/>
      <c r="CX17" s="138"/>
      <c r="CY17" s="143"/>
      <c r="DC17" s="31"/>
      <c r="DD17" s="31"/>
      <c r="DE17" s="31"/>
      <c r="DF17" s="31"/>
      <c r="DG17" s="31"/>
      <c r="DH17" s="31"/>
      <c r="DI17" s="31"/>
      <c r="DJ17" s="31"/>
      <c r="DK17" s="31"/>
      <c r="DL17" s="31"/>
    </row>
    <row r="18" spans="1:116" x14ac:dyDescent="0.25">
      <c r="A18" s="203" t="s">
        <v>187</v>
      </c>
      <c r="B18" s="51" t="s">
        <v>188</v>
      </c>
      <c r="C18" s="52"/>
      <c r="D18" s="207" t="s">
        <v>173</v>
      </c>
      <c r="E18" s="58"/>
      <c r="F18" s="58">
        <v>45597</v>
      </c>
      <c r="H18" s="138"/>
      <c r="I18" s="138"/>
      <c r="J18" s="138"/>
      <c r="K18" s="143"/>
      <c r="L18" s="190" t="s">
        <v>174</v>
      </c>
      <c r="M18" s="138"/>
      <c r="N18" s="138"/>
      <c r="O18" s="143"/>
      <c r="P18" s="138"/>
      <c r="Q18" s="138"/>
      <c r="R18" s="138"/>
      <c r="S18" s="143"/>
      <c r="T18" s="138"/>
      <c r="U18" s="138"/>
      <c r="V18" s="138"/>
      <c r="W18" s="143"/>
      <c r="X18" s="138"/>
      <c r="Y18" s="138"/>
      <c r="Z18" s="138"/>
      <c r="AA18" s="143"/>
      <c r="AB18" s="138"/>
      <c r="AC18" s="138"/>
      <c r="AD18" s="138"/>
      <c r="AE18" s="143"/>
      <c r="AF18" s="138"/>
      <c r="AG18" s="138"/>
      <c r="AH18" s="138"/>
      <c r="AI18" s="143"/>
      <c r="AJ18" s="138"/>
      <c r="AK18" s="138"/>
      <c r="AL18" s="138"/>
      <c r="AM18" s="143"/>
      <c r="AN18" s="138"/>
      <c r="AO18" s="138"/>
      <c r="AP18" s="138"/>
      <c r="AQ18" s="143"/>
      <c r="AR18" s="138"/>
      <c r="AS18" s="138"/>
      <c r="AT18" s="138"/>
      <c r="AU18" s="143"/>
      <c r="AV18" s="138"/>
      <c r="AW18" s="138"/>
      <c r="AX18" s="138"/>
      <c r="AY18" s="143"/>
      <c r="AZ18" s="138"/>
      <c r="BA18" s="138"/>
      <c r="BB18" s="138"/>
      <c r="BC18" s="143"/>
      <c r="BD18" s="138"/>
      <c r="BE18" s="138"/>
      <c r="BF18" s="138"/>
      <c r="BG18" s="143"/>
      <c r="BH18" s="138"/>
      <c r="BI18" s="138"/>
      <c r="BJ18" s="138"/>
      <c r="BK18" s="143"/>
      <c r="BL18" s="138"/>
      <c r="BM18" s="138"/>
      <c r="BN18" s="138"/>
      <c r="BO18" s="143"/>
      <c r="BP18" s="138"/>
      <c r="BQ18" s="138"/>
      <c r="BR18" s="138"/>
      <c r="BS18" s="143"/>
      <c r="BT18" s="138"/>
      <c r="BU18" s="138"/>
      <c r="BV18" s="138"/>
      <c r="BW18" s="143"/>
      <c r="BX18" s="138"/>
      <c r="BY18" s="138"/>
      <c r="BZ18" s="138"/>
      <c r="CA18" s="143"/>
      <c r="CB18" s="138"/>
      <c r="CC18" s="138"/>
      <c r="CD18" s="138"/>
      <c r="CE18" s="143"/>
      <c r="CF18" s="138"/>
      <c r="CG18" s="138"/>
      <c r="CH18" s="138"/>
      <c r="CI18" s="143"/>
      <c r="CJ18" s="138"/>
      <c r="CK18" s="138"/>
      <c r="CL18" s="138"/>
      <c r="CM18" s="143"/>
      <c r="CN18" s="138"/>
      <c r="CO18" s="138"/>
      <c r="CP18" s="138"/>
      <c r="CQ18" s="143"/>
      <c r="CR18" s="138"/>
      <c r="CS18" s="138"/>
      <c r="CT18" s="138"/>
      <c r="CU18" s="143"/>
      <c r="CV18" s="138"/>
      <c r="CW18" s="138"/>
      <c r="CX18" s="138"/>
      <c r="CY18" s="143"/>
    </row>
    <row r="19" spans="1:116" ht="15.75" x14ac:dyDescent="0.25">
      <c r="A19" s="37"/>
      <c r="B19" s="36" t="s">
        <v>189</v>
      </c>
      <c r="C19" s="37"/>
      <c r="D19" s="38"/>
      <c r="E19" s="37"/>
      <c r="F19" s="38"/>
      <c r="G19" s="356"/>
      <c r="H19" s="356"/>
      <c r="I19" s="356"/>
      <c r="J19" s="356"/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56"/>
      <c r="AM19" s="356"/>
      <c r="AN19" s="356"/>
      <c r="AO19" s="356"/>
      <c r="AP19" s="356"/>
      <c r="AQ19" s="356"/>
      <c r="AR19" s="356"/>
      <c r="AS19" s="356"/>
      <c r="AT19" s="356"/>
      <c r="AU19" s="356"/>
      <c r="AV19" s="356"/>
      <c r="AW19" s="356"/>
      <c r="AX19" s="356"/>
      <c r="AY19" s="356"/>
      <c r="AZ19" s="356"/>
      <c r="BA19" s="356"/>
      <c r="BB19" s="356"/>
      <c r="BC19" s="356"/>
      <c r="BD19" s="356"/>
      <c r="BE19" s="356"/>
      <c r="BF19" s="356"/>
      <c r="BG19" s="356"/>
      <c r="BH19" s="356"/>
      <c r="BI19" s="356"/>
      <c r="BJ19" s="356"/>
      <c r="BK19" s="356"/>
      <c r="BL19" s="356"/>
      <c r="BM19" s="356"/>
      <c r="BN19" s="356"/>
      <c r="BO19" s="356"/>
      <c r="BP19" s="356"/>
      <c r="BQ19" s="356"/>
      <c r="BR19" s="356"/>
      <c r="BS19" s="356"/>
      <c r="BT19" s="356"/>
      <c r="BU19" s="356"/>
      <c r="BV19" s="356"/>
      <c r="BW19" s="356"/>
      <c r="BX19" s="356"/>
      <c r="BY19" s="356"/>
      <c r="BZ19" s="356"/>
      <c r="CA19" s="356"/>
      <c r="CB19" s="356"/>
      <c r="CC19" s="356"/>
      <c r="CD19" s="356"/>
      <c r="CE19" s="356"/>
      <c r="CF19" s="356"/>
      <c r="CG19" s="356"/>
      <c r="CH19" s="356"/>
      <c r="CI19" s="356"/>
      <c r="CJ19" s="356"/>
      <c r="CK19" s="356"/>
      <c r="CL19" s="356"/>
      <c r="CM19" s="356"/>
      <c r="CN19" s="356"/>
      <c r="CO19" s="356"/>
      <c r="CP19" s="356"/>
      <c r="CQ19" s="356"/>
      <c r="CR19" s="356"/>
      <c r="CS19" s="356"/>
      <c r="CT19" s="356"/>
      <c r="CU19" s="356"/>
      <c r="CV19" s="356"/>
      <c r="CW19" s="356"/>
      <c r="CX19" s="356"/>
      <c r="CY19" s="357"/>
      <c r="DC19" s="31"/>
      <c r="DD19" s="31"/>
      <c r="DE19" s="31"/>
      <c r="DF19" s="31"/>
      <c r="DG19" s="31"/>
      <c r="DH19" s="31"/>
      <c r="DI19" s="31"/>
      <c r="DJ19" s="31"/>
      <c r="DK19" s="31"/>
      <c r="DL19" s="31"/>
    </row>
    <row r="20" spans="1:116" x14ac:dyDescent="0.25">
      <c r="A20" s="62" t="s">
        <v>190</v>
      </c>
      <c r="B20" s="63" t="s">
        <v>191</v>
      </c>
      <c r="C20" s="64" t="s">
        <v>192</v>
      </c>
      <c r="D20" s="72">
        <v>1</v>
      </c>
      <c r="E20" s="70">
        <v>45595</v>
      </c>
      <c r="F20" s="70">
        <v>45609</v>
      </c>
      <c r="H20" s="133"/>
      <c r="I20" s="133"/>
      <c r="J20" s="133"/>
      <c r="K20" s="140"/>
      <c r="L20" s="141"/>
      <c r="M20" s="133"/>
      <c r="N20" s="133"/>
      <c r="O20" s="134"/>
      <c r="P20" s="133"/>
      <c r="Q20" s="133"/>
      <c r="R20" s="133"/>
      <c r="S20" s="134"/>
      <c r="T20" s="133"/>
      <c r="U20" s="133"/>
      <c r="V20" s="133"/>
      <c r="W20" s="134"/>
      <c r="X20" s="133"/>
      <c r="Y20" s="133"/>
      <c r="Z20" s="133"/>
      <c r="AA20" s="134"/>
      <c r="AB20" s="133"/>
      <c r="AC20" s="133"/>
      <c r="AD20" s="133"/>
      <c r="AE20" s="134"/>
      <c r="AF20" s="133"/>
      <c r="AG20" s="133"/>
      <c r="AH20" s="133"/>
      <c r="AI20" s="134"/>
      <c r="AJ20" s="133"/>
      <c r="AK20" s="133"/>
      <c r="AL20" s="133"/>
      <c r="AM20" s="134"/>
      <c r="AN20" s="133"/>
      <c r="AO20" s="133"/>
      <c r="AP20" s="133"/>
      <c r="AQ20" s="134"/>
      <c r="AR20" s="133"/>
      <c r="AS20" s="133"/>
      <c r="AT20" s="133"/>
      <c r="AU20" s="134"/>
      <c r="AV20" s="133"/>
      <c r="AW20" s="133"/>
      <c r="AX20" s="133"/>
      <c r="AY20" s="134"/>
      <c r="AZ20" s="133"/>
      <c r="BA20" s="133"/>
      <c r="BB20" s="133"/>
      <c r="BC20" s="134"/>
      <c r="BD20" s="133"/>
      <c r="BE20" s="133"/>
      <c r="BF20" s="133"/>
      <c r="BG20" s="134"/>
      <c r="BH20" s="133"/>
      <c r="BI20" s="133"/>
      <c r="BJ20" s="133"/>
      <c r="BK20" s="134"/>
      <c r="BL20" s="133"/>
      <c r="BM20" s="133"/>
      <c r="BN20" s="133"/>
      <c r="BO20" s="134"/>
      <c r="BP20" s="133"/>
      <c r="BQ20" s="133"/>
      <c r="BR20" s="133"/>
      <c r="BS20" s="134"/>
      <c r="BT20" s="133"/>
      <c r="BU20" s="133"/>
      <c r="BV20" s="133"/>
      <c r="BW20" s="134"/>
      <c r="BX20" s="133"/>
      <c r="BY20" s="133"/>
      <c r="BZ20" s="133"/>
      <c r="CA20" s="134"/>
      <c r="CB20" s="133"/>
      <c r="CC20" s="133"/>
      <c r="CD20" s="133"/>
      <c r="CE20" s="134"/>
      <c r="CF20" s="133"/>
      <c r="CG20" s="133"/>
      <c r="CH20" s="133"/>
      <c r="CI20" s="134"/>
      <c r="CJ20" s="133"/>
      <c r="CK20" s="133"/>
      <c r="CL20" s="133"/>
      <c r="CM20" s="134"/>
      <c r="CN20" s="133"/>
      <c r="CO20" s="133"/>
      <c r="CP20" s="133"/>
      <c r="CQ20" s="134"/>
      <c r="CR20" s="133"/>
      <c r="CS20" s="133"/>
      <c r="CT20" s="133"/>
      <c r="CU20" s="134"/>
      <c r="CV20" s="133"/>
      <c r="CW20" s="133"/>
      <c r="CX20" s="133"/>
      <c r="CY20" s="134"/>
      <c r="CZ20" s="57"/>
    </row>
    <row r="21" spans="1:116" ht="15" customHeight="1" x14ac:dyDescent="0.25">
      <c r="A21" s="62" t="s">
        <v>193</v>
      </c>
      <c r="B21" s="63" t="s">
        <v>194</v>
      </c>
      <c r="C21" s="64" t="s">
        <v>192</v>
      </c>
      <c r="D21" s="72">
        <v>1</v>
      </c>
      <c r="E21" s="70">
        <v>45602</v>
      </c>
      <c r="F21" s="70">
        <v>45616</v>
      </c>
      <c r="H21" s="136"/>
      <c r="I21" s="136"/>
      <c r="J21" s="136"/>
      <c r="K21" s="137"/>
      <c r="L21" s="142"/>
      <c r="M21" s="142"/>
      <c r="N21" s="136"/>
      <c r="O21" s="137"/>
      <c r="P21" s="136"/>
      <c r="Q21" s="136"/>
      <c r="R21" s="136"/>
      <c r="S21" s="137"/>
      <c r="T21" s="136"/>
      <c r="U21" s="136"/>
      <c r="V21" s="136"/>
      <c r="W21" s="137"/>
      <c r="X21" s="136"/>
      <c r="Y21" s="136"/>
      <c r="Z21" s="136"/>
      <c r="AA21" s="137"/>
      <c r="AB21" s="136"/>
      <c r="AC21" s="136"/>
      <c r="AD21" s="136"/>
      <c r="AE21" s="137"/>
      <c r="AF21" s="136"/>
      <c r="AG21" s="136"/>
      <c r="AH21" s="136"/>
      <c r="AI21" s="137"/>
      <c r="AJ21" s="136"/>
      <c r="AK21" s="136"/>
      <c r="AL21" s="136"/>
      <c r="AM21" s="137"/>
      <c r="AN21" s="136"/>
      <c r="AO21" s="136"/>
      <c r="AP21" s="136"/>
      <c r="AQ21" s="137"/>
      <c r="AR21" s="136"/>
      <c r="AS21" s="136"/>
      <c r="AT21" s="136"/>
      <c r="AU21" s="137"/>
      <c r="AV21" s="136"/>
      <c r="AW21" s="136"/>
      <c r="AX21" s="136"/>
      <c r="AY21" s="137"/>
      <c r="AZ21" s="136"/>
      <c r="BA21" s="136"/>
      <c r="BB21" s="136"/>
      <c r="BC21" s="137"/>
      <c r="BD21" s="136"/>
      <c r="BE21" s="136"/>
      <c r="BF21" s="136"/>
      <c r="BG21" s="137"/>
      <c r="BH21" s="136"/>
      <c r="BI21" s="136"/>
      <c r="BJ21" s="136"/>
      <c r="BK21" s="137"/>
      <c r="BL21" s="136"/>
      <c r="BM21" s="136"/>
      <c r="BN21" s="136"/>
      <c r="BO21" s="137"/>
      <c r="BP21" s="136"/>
      <c r="BQ21" s="136"/>
      <c r="BR21" s="136"/>
      <c r="BS21" s="137"/>
      <c r="BT21" s="136"/>
      <c r="BU21" s="136"/>
      <c r="BV21" s="136"/>
      <c r="BW21" s="137"/>
      <c r="BX21" s="136"/>
      <c r="BY21" s="136"/>
      <c r="BZ21" s="136"/>
      <c r="CA21" s="137"/>
      <c r="CB21" s="136"/>
      <c r="CC21" s="136"/>
      <c r="CD21" s="136"/>
      <c r="CE21" s="137"/>
      <c r="CF21" s="136"/>
      <c r="CG21" s="136"/>
      <c r="CH21" s="136"/>
      <c r="CI21" s="137"/>
      <c r="CJ21" s="136"/>
      <c r="CK21" s="136"/>
      <c r="CL21" s="136"/>
      <c r="CM21" s="137"/>
      <c r="CN21" s="136"/>
      <c r="CO21" s="136"/>
      <c r="CP21" s="136"/>
      <c r="CQ21" s="137"/>
      <c r="CR21" s="136"/>
      <c r="CS21" s="136"/>
      <c r="CT21" s="136"/>
      <c r="CU21" s="137"/>
      <c r="CV21" s="136"/>
      <c r="CW21" s="136"/>
      <c r="CX21" s="136"/>
      <c r="CY21" s="137"/>
      <c r="DA21" s="31"/>
      <c r="DB21" s="31"/>
    </row>
    <row r="22" spans="1:116" ht="15" customHeight="1" x14ac:dyDescent="0.25">
      <c r="A22" s="201" t="s">
        <v>195</v>
      </c>
      <c r="B22" s="60" t="s">
        <v>196</v>
      </c>
      <c r="C22" s="61"/>
      <c r="D22" s="208" t="s">
        <v>173</v>
      </c>
      <c r="E22" s="196"/>
      <c r="F22" s="197">
        <v>45617</v>
      </c>
      <c r="H22" s="136"/>
      <c r="I22" s="136"/>
      <c r="J22" s="136"/>
      <c r="K22" s="137"/>
      <c r="L22" s="136"/>
      <c r="M22" s="136" t="s">
        <v>174</v>
      </c>
      <c r="N22" s="136"/>
      <c r="O22" s="137"/>
      <c r="P22" s="136"/>
      <c r="Q22" s="136"/>
      <c r="R22" s="136"/>
      <c r="S22" s="137"/>
      <c r="T22" s="136"/>
      <c r="U22" s="136"/>
      <c r="V22" s="136"/>
      <c r="W22" s="137"/>
      <c r="X22" s="136"/>
      <c r="Y22" s="136"/>
      <c r="Z22" s="136"/>
      <c r="AA22" s="137"/>
      <c r="AB22" s="136"/>
      <c r="AC22" s="136"/>
      <c r="AD22" s="136"/>
      <c r="AE22" s="137"/>
      <c r="AF22" s="136"/>
      <c r="AG22" s="136"/>
      <c r="AH22" s="136"/>
      <c r="AI22" s="137"/>
      <c r="AJ22" s="136"/>
      <c r="AK22" s="136"/>
      <c r="AL22" s="136"/>
      <c r="AM22" s="137"/>
      <c r="AN22" s="136"/>
      <c r="AO22" s="136"/>
      <c r="AP22" s="136"/>
      <c r="AQ22" s="137"/>
      <c r="AR22" s="136"/>
      <c r="AS22" s="136"/>
      <c r="AT22" s="136"/>
      <c r="AU22" s="137"/>
      <c r="AV22" s="136"/>
      <c r="AW22" s="136"/>
      <c r="AX22" s="136"/>
      <c r="AY22" s="137"/>
      <c r="AZ22" s="136"/>
      <c r="BA22" s="136"/>
      <c r="BB22" s="136"/>
      <c r="BC22" s="137"/>
      <c r="BD22" s="136"/>
      <c r="BE22" s="136"/>
      <c r="BF22" s="136"/>
      <c r="BG22" s="137"/>
      <c r="BH22" s="136"/>
      <c r="BI22" s="136"/>
      <c r="BJ22" s="136"/>
      <c r="BK22" s="137"/>
      <c r="BL22" s="136"/>
      <c r="BM22" s="136"/>
      <c r="BN22" s="136"/>
      <c r="BO22" s="137"/>
      <c r="BP22" s="136"/>
      <c r="BQ22" s="136"/>
      <c r="BR22" s="136"/>
      <c r="BS22" s="137"/>
      <c r="BT22" s="136"/>
      <c r="BU22" s="136"/>
      <c r="BV22" s="136"/>
      <c r="BW22" s="137"/>
      <c r="BX22" s="136"/>
      <c r="BY22" s="136"/>
      <c r="BZ22" s="136"/>
      <c r="CA22" s="137"/>
      <c r="CB22" s="136"/>
      <c r="CC22" s="136"/>
      <c r="CD22" s="136"/>
      <c r="CE22" s="137"/>
      <c r="CF22" s="136"/>
      <c r="CG22" s="136"/>
      <c r="CH22" s="136"/>
      <c r="CI22" s="137"/>
      <c r="CJ22" s="136"/>
      <c r="CK22" s="136"/>
      <c r="CL22" s="136"/>
      <c r="CM22" s="137"/>
      <c r="CN22" s="136"/>
      <c r="CO22" s="136"/>
      <c r="CP22" s="136"/>
      <c r="CQ22" s="137"/>
      <c r="CR22" s="136"/>
      <c r="CS22" s="136"/>
      <c r="CT22" s="136"/>
      <c r="CU22" s="137"/>
      <c r="CV22" s="136"/>
      <c r="CW22" s="136"/>
      <c r="CX22" s="136"/>
      <c r="CY22" s="137"/>
      <c r="DA22" s="31"/>
      <c r="DB22" s="31"/>
    </row>
    <row r="23" spans="1:116" x14ac:dyDescent="0.25">
      <c r="A23" s="65" t="s">
        <v>197</v>
      </c>
      <c r="B23" s="34" t="s">
        <v>198</v>
      </c>
      <c r="C23" s="66" t="s">
        <v>199</v>
      </c>
      <c r="D23" s="198">
        <v>1</v>
      </c>
      <c r="E23" s="199">
        <v>45602</v>
      </c>
      <c r="F23" s="199">
        <v>45604</v>
      </c>
      <c r="H23" s="136"/>
      <c r="I23" s="136"/>
      <c r="J23" s="136"/>
      <c r="K23" s="137"/>
      <c r="L23" s="142"/>
      <c r="M23" s="136"/>
      <c r="N23" s="136"/>
      <c r="O23" s="137"/>
      <c r="P23" s="136"/>
      <c r="Q23" s="136"/>
      <c r="R23" s="136"/>
      <c r="S23" s="137"/>
      <c r="T23" s="136"/>
      <c r="U23" s="136"/>
      <c r="V23" s="136"/>
      <c r="W23" s="137"/>
      <c r="X23" s="136"/>
      <c r="Y23" s="136"/>
      <c r="Z23" s="136"/>
      <c r="AA23" s="137"/>
      <c r="AB23" s="136"/>
      <c r="AC23" s="136"/>
      <c r="AD23" s="136"/>
      <c r="AE23" s="137"/>
      <c r="AF23" s="136"/>
      <c r="AG23" s="136"/>
      <c r="AH23" s="136"/>
      <c r="AI23" s="137"/>
      <c r="AJ23" s="136"/>
      <c r="AK23" s="136"/>
      <c r="AL23" s="136"/>
      <c r="AM23" s="137"/>
      <c r="AN23" s="136"/>
      <c r="AO23" s="136"/>
      <c r="AP23" s="136"/>
      <c r="AQ23" s="137"/>
      <c r="AR23" s="136"/>
      <c r="AS23" s="136"/>
      <c r="AT23" s="136"/>
      <c r="AU23" s="137"/>
      <c r="AV23" s="136"/>
      <c r="AW23" s="136"/>
      <c r="AX23" s="136"/>
      <c r="AY23" s="137"/>
      <c r="AZ23" s="136"/>
      <c r="BA23" s="136"/>
      <c r="BB23" s="136"/>
      <c r="BC23" s="137"/>
      <c r="BD23" s="136"/>
      <c r="BE23" s="136"/>
      <c r="BF23" s="136"/>
      <c r="BG23" s="137"/>
      <c r="BH23" s="136"/>
      <c r="BI23" s="136"/>
      <c r="BJ23" s="136"/>
      <c r="BK23" s="137"/>
      <c r="BL23" s="136"/>
      <c r="BM23" s="136"/>
      <c r="BN23" s="136"/>
      <c r="BO23" s="137"/>
      <c r="BP23" s="136"/>
      <c r="BQ23" s="136"/>
      <c r="BR23" s="136"/>
      <c r="BS23" s="137"/>
      <c r="BT23" s="136"/>
      <c r="BU23" s="136"/>
      <c r="BV23" s="136"/>
      <c r="BW23" s="137"/>
      <c r="BX23" s="136"/>
      <c r="BY23" s="136"/>
      <c r="BZ23" s="136"/>
      <c r="CA23" s="137"/>
      <c r="CB23" s="136"/>
      <c r="CC23" s="136"/>
      <c r="CD23" s="136"/>
      <c r="CE23" s="137"/>
      <c r="CF23" s="136"/>
      <c r="CG23" s="136"/>
      <c r="CH23" s="136"/>
      <c r="CI23" s="137"/>
      <c r="CJ23" s="136"/>
      <c r="CK23" s="136"/>
      <c r="CL23" s="136"/>
      <c r="CM23" s="137"/>
      <c r="CN23" s="136"/>
      <c r="CO23" s="136"/>
      <c r="CP23" s="136"/>
      <c r="CQ23" s="137"/>
      <c r="CR23" s="136"/>
      <c r="CS23" s="136"/>
      <c r="CT23" s="136"/>
      <c r="CU23" s="137"/>
      <c r="CV23" s="136"/>
      <c r="CW23" s="136"/>
      <c r="CX23" s="136"/>
      <c r="CY23" s="137"/>
      <c r="CZ23" s="119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</row>
    <row r="24" spans="1:116" x14ac:dyDescent="0.25">
      <c r="A24" s="62" t="s">
        <v>200</v>
      </c>
      <c r="B24" s="63" t="s">
        <v>201</v>
      </c>
      <c r="C24" s="64" t="s">
        <v>199</v>
      </c>
      <c r="D24" s="72">
        <v>1</v>
      </c>
      <c r="E24" s="70">
        <v>45616</v>
      </c>
      <c r="F24" s="70">
        <v>45621</v>
      </c>
      <c r="H24" s="136"/>
      <c r="I24" s="136"/>
      <c r="J24" s="136"/>
      <c r="K24" s="137"/>
      <c r="L24" s="136"/>
      <c r="M24" s="136"/>
      <c r="N24" s="142"/>
      <c r="O24" s="137"/>
      <c r="P24" s="136"/>
      <c r="Q24" s="136"/>
      <c r="R24" s="136"/>
      <c r="S24" s="137"/>
      <c r="T24" s="136"/>
      <c r="U24" s="136"/>
      <c r="V24" s="136"/>
      <c r="W24" s="137"/>
      <c r="X24" s="136"/>
      <c r="Y24" s="136"/>
      <c r="Z24" s="136"/>
      <c r="AA24" s="137"/>
      <c r="AB24" s="136"/>
      <c r="AC24" s="136"/>
      <c r="AD24" s="136"/>
      <c r="AE24" s="137"/>
      <c r="AF24" s="136"/>
      <c r="AG24" s="136"/>
      <c r="AH24" s="136"/>
      <c r="AI24" s="137"/>
      <c r="AJ24" s="136"/>
      <c r="AK24" s="136"/>
      <c r="AL24" s="136"/>
      <c r="AM24" s="137"/>
      <c r="AN24" s="136"/>
      <c r="AO24" s="136"/>
      <c r="AP24" s="136"/>
      <c r="AQ24" s="137"/>
      <c r="AR24" s="136"/>
      <c r="AS24" s="136"/>
      <c r="AT24" s="136"/>
      <c r="AU24" s="137"/>
      <c r="AV24" s="136"/>
      <c r="AW24" s="136"/>
      <c r="AX24" s="136"/>
      <c r="AY24" s="137"/>
      <c r="AZ24" s="136"/>
      <c r="BA24" s="136"/>
      <c r="BB24" s="136"/>
      <c r="BC24" s="137"/>
      <c r="BD24" s="136"/>
      <c r="BE24" s="136"/>
      <c r="BF24" s="136"/>
      <c r="BG24" s="137"/>
      <c r="BH24" s="136"/>
      <c r="BI24" s="136"/>
      <c r="BJ24" s="136"/>
      <c r="BK24" s="137"/>
      <c r="BL24" s="136"/>
      <c r="BM24" s="136"/>
      <c r="BN24" s="136"/>
      <c r="BO24" s="137"/>
      <c r="BP24" s="136"/>
      <c r="BQ24" s="136"/>
      <c r="BR24" s="136"/>
      <c r="BS24" s="137"/>
      <c r="BT24" s="136"/>
      <c r="BU24" s="136"/>
      <c r="BV24" s="136"/>
      <c r="BW24" s="137"/>
      <c r="BX24" s="136"/>
      <c r="BY24" s="136"/>
      <c r="BZ24" s="136"/>
      <c r="CA24" s="137"/>
      <c r="CB24" s="136"/>
      <c r="CC24" s="136"/>
      <c r="CD24" s="136"/>
      <c r="CE24" s="137"/>
      <c r="CF24" s="136"/>
      <c r="CG24" s="136"/>
      <c r="CH24" s="136"/>
      <c r="CI24" s="137"/>
      <c r="CJ24" s="136"/>
      <c r="CK24" s="136"/>
      <c r="CL24" s="136"/>
      <c r="CM24" s="137"/>
      <c r="CN24" s="136"/>
      <c r="CO24" s="136"/>
      <c r="CP24" s="136"/>
      <c r="CQ24" s="137"/>
      <c r="CR24" s="136"/>
      <c r="CS24" s="136"/>
      <c r="CT24" s="136"/>
      <c r="CU24" s="137"/>
      <c r="CV24" s="136"/>
      <c r="CW24" s="136"/>
      <c r="CX24" s="136"/>
      <c r="CY24" s="137"/>
      <c r="CZ24" s="119"/>
      <c r="DA24" s="31"/>
      <c r="DB24" s="31"/>
    </row>
    <row r="25" spans="1:116" x14ac:dyDescent="0.25">
      <c r="A25" s="62" t="s">
        <v>202</v>
      </c>
      <c r="B25" s="63" t="s">
        <v>203</v>
      </c>
      <c r="C25" s="64" t="s">
        <v>204</v>
      </c>
      <c r="D25" s="72">
        <v>1</v>
      </c>
      <c r="E25" s="70">
        <v>45616</v>
      </c>
      <c r="F25" s="70">
        <v>45629</v>
      </c>
      <c r="H25" s="136"/>
      <c r="I25" s="136"/>
      <c r="J25" s="136"/>
      <c r="K25" s="137"/>
      <c r="L25" s="136"/>
      <c r="M25" s="136"/>
      <c r="N25" s="142"/>
      <c r="O25" s="144"/>
      <c r="Q25" s="136"/>
      <c r="R25" s="136"/>
      <c r="S25" s="137"/>
      <c r="T25" s="136"/>
      <c r="U25" s="136"/>
      <c r="V25" s="136"/>
      <c r="W25" s="137"/>
      <c r="X25" s="136"/>
      <c r="Y25" s="136"/>
      <c r="Z25" s="136"/>
      <c r="AA25" s="137"/>
      <c r="AB25" s="136"/>
      <c r="AC25" s="136"/>
      <c r="AD25" s="136"/>
      <c r="AE25" s="137"/>
      <c r="AF25" s="136"/>
      <c r="AG25" s="136"/>
      <c r="AH25" s="136"/>
      <c r="AI25" s="137"/>
      <c r="AJ25" s="136"/>
      <c r="AK25" s="136"/>
      <c r="AL25" s="136"/>
      <c r="AM25" s="137"/>
      <c r="AN25" s="136"/>
      <c r="AO25" s="136"/>
      <c r="AP25" s="136"/>
      <c r="AQ25" s="137"/>
      <c r="AR25" s="136"/>
      <c r="AS25" s="136"/>
      <c r="AT25" s="136"/>
      <c r="AU25" s="137"/>
      <c r="AV25" s="136"/>
      <c r="AW25" s="136"/>
      <c r="AX25" s="136"/>
      <c r="AY25" s="137"/>
      <c r="AZ25" s="136"/>
      <c r="BA25" s="136"/>
      <c r="BB25" s="136"/>
      <c r="BC25" s="137"/>
      <c r="BD25" s="136"/>
      <c r="BE25" s="136"/>
      <c r="BF25" s="136"/>
      <c r="BG25" s="137"/>
      <c r="BH25" s="136"/>
      <c r="BI25" s="136"/>
      <c r="BJ25" s="136"/>
      <c r="BK25" s="137"/>
      <c r="BL25" s="136"/>
      <c r="BM25" s="136"/>
      <c r="BN25" s="136"/>
      <c r="BO25" s="137"/>
      <c r="BP25" s="136"/>
      <c r="BQ25" s="136"/>
      <c r="BR25" s="136"/>
      <c r="BS25" s="137"/>
      <c r="BT25" s="136"/>
      <c r="BU25" s="136"/>
      <c r="BV25" s="136"/>
      <c r="BW25" s="137"/>
      <c r="BX25" s="136"/>
      <c r="BY25" s="136"/>
      <c r="BZ25" s="136"/>
      <c r="CA25" s="137"/>
      <c r="CB25" s="136"/>
      <c r="CC25" s="136"/>
      <c r="CD25" s="136"/>
      <c r="CE25" s="137"/>
      <c r="CF25" s="136"/>
      <c r="CG25" s="136"/>
      <c r="CH25" s="136"/>
      <c r="CI25" s="137"/>
      <c r="CJ25" s="136"/>
      <c r="CK25" s="136"/>
      <c r="CL25" s="136"/>
      <c r="CM25" s="137"/>
      <c r="CN25" s="136"/>
      <c r="CO25" s="136"/>
      <c r="CP25" s="136"/>
      <c r="CQ25" s="137"/>
      <c r="CR25" s="136"/>
      <c r="CS25" s="136"/>
      <c r="CT25" s="136"/>
      <c r="CU25" s="137"/>
      <c r="CV25" s="136"/>
      <c r="CW25" s="136"/>
      <c r="CX25" s="136"/>
      <c r="CY25" s="137"/>
      <c r="DC25" s="31"/>
      <c r="DD25" s="31"/>
      <c r="DE25" s="31"/>
      <c r="DF25" s="31"/>
      <c r="DG25" s="31"/>
      <c r="DH25" s="31"/>
      <c r="DI25" s="31"/>
      <c r="DJ25" s="31"/>
      <c r="DK25" s="31"/>
      <c r="DL25" s="31"/>
    </row>
    <row r="26" spans="1:116" x14ac:dyDescent="0.25">
      <c r="A26" s="200" t="s">
        <v>205</v>
      </c>
      <c r="B26" s="63" t="s">
        <v>206</v>
      </c>
      <c r="C26" s="64"/>
      <c r="D26" s="208" t="s">
        <v>173</v>
      </c>
      <c r="E26" s="70"/>
      <c r="F26" s="70">
        <v>45630</v>
      </c>
      <c r="H26" s="136"/>
      <c r="I26" s="136"/>
      <c r="J26" s="136"/>
      <c r="K26" s="137"/>
      <c r="L26" s="136"/>
      <c r="M26" s="136"/>
      <c r="N26" s="136"/>
      <c r="O26" s="137"/>
      <c r="P26" s="136" t="s">
        <v>174</v>
      </c>
      <c r="Q26" s="136"/>
      <c r="R26" s="136"/>
      <c r="S26" s="137"/>
      <c r="T26" s="136"/>
      <c r="U26" s="136"/>
      <c r="V26" s="136"/>
      <c r="W26" s="137"/>
      <c r="X26" s="136"/>
      <c r="Y26" s="136"/>
      <c r="Z26" s="136"/>
      <c r="AA26" s="137"/>
      <c r="AB26" s="136"/>
      <c r="AC26" s="136"/>
      <c r="AD26" s="136"/>
      <c r="AE26" s="137"/>
      <c r="AF26" s="136"/>
      <c r="AG26" s="136"/>
      <c r="AH26" s="136"/>
      <c r="AI26" s="137"/>
      <c r="AJ26" s="136"/>
      <c r="AK26" s="136"/>
      <c r="AL26" s="136"/>
      <c r="AM26" s="137"/>
      <c r="AN26" s="136"/>
      <c r="AO26" s="136"/>
      <c r="AP26" s="136"/>
      <c r="AQ26" s="137"/>
      <c r="AR26" s="136"/>
      <c r="AS26" s="136"/>
      <c r="AT26" s="136"/>
      <c r="AU26" s="137"/>
      <c r="AV26" s="136"/>
      <c r="AW26" s="136"/>
      <c r="AX26" s="136"/>
      <c r="AY26" s="137"/>
      <c r="AZ26" s="136"/>
      <c r="BA26" s="136"/>
      <c r="BB26" s="136"/>
      <c r="BC26" s="137"/>
      <c r="BD26" s="136"/>
      <c r="BE26" s="136"/>
      <c r="BF26" s="136"/>
      <c r="BG26" s="137"/>
      <c r="BH26" s="136"/>
      <c r="BI26" s="136"/>
      <c r="BJ26" s="136"/>
      <c r="BK26" s="137"/>
      <c r="BL26" s="136"/>
      <c r="BM26" s="136"/>
      <c r="BN26" s="136"/>
      <c r="BO26" s="137"/>
      <c r="BP26" s="136"/>
      <c r="BQ26" s="136"/>
      <c r="BR26" s="136"/>
      <c r="BS26" s="137"/>
      <c r="BT26" s="136"/>
      <c r="BU26" s="136"/>
      <c r="BV26" s="136"/>
      <c r="BW26" s="137"/>
      <c r="BX26" s="136"/>
      <c r="BY26" s="136"/>
      <c r="BZ26" s="136"/>
      <c r="CA26" s="137"/>
      <c r="CB26" s="136"/>
      <c r="CC26" s="136"/>
      <c r="CD26" s="136"/>
      <c r="CE26" s="137"/>
      <c r="CF26" s="136"/>
      <c r="CG26" s="136"/>
      <c r="CH26" s="136"/>
      <c r="CI26" s="137"/>
      <c r="CJ26" s="136"/>
      <c r="CK26" s="136"/>
      <c r="CL26" s="136"/>
      <c r="CM26" s="137"/>
      <c r="CN26" s="136"/>
      <c r="CO26" s="136"/>
      <c r="CP26" s="136"/>
      <c r="CQ26" s="137"/>
      <c r="CR26" s="136"/>
      <c r="CS26" s="136"/>
      <c r="CT26" s="136"/>
      <c r="CU26" s="137"/>
      <c r="CV26" s="136"/>
      <c r="CW26" s="136"/>
      <c r="CX26" s="136"/>
      <c r="CY26" s="137"/>
      <c r="DC26" s="28"/>
      <c r="DD26" s="28"/>
      <c r="DE26" s="28"/>
      <c r="DF26" s="28"/>
      <c r="DG26" s="28"/>
      <c r="DH26" s="28"/>
      <c r="DI26" s="28"/>
      <c r="DJ26" s="28"/>
      <c r="DK26" s="28"/>
      <c r="DL26" s="28"/>
    </row>
    <row r="27" spans="1:116" x14ac:dyDescent="0.25">
      <c r="A27" s="59" t="s">
        <v>207</v>
      </c>
      <c r="B27" s="60" t="s">
        <v>208</v>
      </c>
      <c r="C27" s="61" t="s">
        <v>204</v>
      </c>
      <c r="D27" s="72">
        <v>1</v>
      </c>
      <c r="E27" s="70">
        <v>45630</v>
      </c>
      <c r="F27" s="70">
        <v>45634</v>
      </c>
      <c r="H27" s="136"/>
      <c r="I27" s="136"/>
      <c r="J27" s="136"/>
      <c r="K27" s="137"/>
      <c r="L27" s="136"/>
      <c r="M27" s="136"/>
      <c r="N27" s="136"/>
      <c r="O27" s="137"/>
      <c r="P27" s="142"/>
      <c r="Q27" s="136"/>
      <c r="R27" s="136"/>
      <c r="S27" s="137"/>
      <c r="T27" s="136"/>
      <c r="U27" s="136"/>
      <c r="V27" s="136"/>
      <c r="W27" s="137"/>
      <c r="X27" s="136"/>
      <c r="Y27" s="136"/>
      <c r="Z27" s="136"/>
      <c r="AA27" s="137"/>
      <c r="AB27" s="136"/>
      <c r="AC27" s="136"/>
      <c r="AD27" s="136"/>
      <c r="AE27" s="137"/>
      <c r="AF27" s="136"/>
      <c r="AG27" s="136"/>
      <c r="AH27" s="136"/>
      <c r="AI27" s="137"/>
      <c r="AJ27" s="136"/>
      <c r="AK27" s="136"/>
      <c r="AL27" s="136"/>
      <c r="AM27" s="137"/>
      <c r="AN27" s="136"/>
      <c r="AO27" s="136"/>
      <c r="AP27" s="136"/>
      <c r="AQ27" s="137"/>
      <c r="AR27" s="136"/>
      <c r="AS27" s="136"/>
      <c r="AT27" s="136"/>
      <c r="AU27" s="137"/>
      <c r="AV27" s="136"/>
      <c r="AW27" s="136"/>
      <c r="AX27" s="136"/>
      <c r="AY27" s="137"/>
      <c r="AZ27" s="136"/>
      <c r="BA27" s="136"/>
      <c r="BB27" s="136"/>
      <c r="BC27" s="137"/>
      <c r="BD27" s="136"/>
      <c r="BE27" s="136"/>
      <c r="BF27" s="136"/>
      <c r="BG27" s="137"/>
      <c r="BH27" s="136"/>
      <c r="BI27" s="136"/>
      <c r="BJ27" s="136"/>
      <c r="BK27" s="137"/>
      <c r="BL27" s="136"/>
      <c r="BM27" s="136"/>
      <c r="BN27" s="136"/>
      <c r="BO27" s="137"/>
      <c r="BP27" s="136"/>
      <c r="BQ27" s="136"/>
      <c r="BR27" s="136"/>
      <c r="BS27" s="137"/>
      <c r="BT27" s="136"/>
      <c r="BU27" s="136"/>
      <c r="BV27" s="136"/>
      <c r="BW27" s="137"/>
      <c r="BX27" s="136"/>
      <c r="BY27" s="136"/>
      <c r="BZ27" s="136"/>
      <c r="CA27" s="137"/>
      <c r="CB27" s="136"/>
      <c r="CC27" s="136"/>
      <c r="CD27" s="136"/>
      <c r="CE27" s="137"/>
      <c r="CF27" s="136"/>
      <c r="CG27" s="136"/>
      <c r="CH27" s="136"/>
      <c r="CI27" s="137"/>
      <c r="CJ27" s="136"/>
      <c r="CK27" s="136"/>
      <c r="CL27" s="136"/>
      <c r="CM27" s="137"/>
      <c r="CN27" s="136"/>
      <c r="CO27" s="136"/>
      <c r="CP27" s="136"/>
      <c r="CQ27" s="137"/>
      <c r="CR27" s="136"/>
      <c r="CS27" s="136"/>
      <c r="CT27" s="136"/>
      <c r="CU27" s="137"/>
      <c r="CV27" s="136"/>
      <c r="CW27" s="136"/>
      <c r="CX27" s="136"/>
      <c r="CY27" s="137"/>
    </row>
    <row r="28" spans="1:116" x14ac:dyDescent="0.25">
      <c r="A28" s="67" t="s">
        <v>209</v>
      </c>
      <c r="B28" s="68" t="s">
        <v>210</v>
      </c>
      <c r="C28" s="69" t="s">
        <v>211</v>
      </c>
      <c r="D28" s="72">
        <v>1</v>
      </c>
      <c r="E28" s="70">
        <v>45630</v>
      </c>
      <c r="F28" s="70">
        <v>45637</v>
      </c>
      <c r="H28" s="138"/>
      <c r="I28" s="138"/>
      <c r="J28" s="138"/>
      <c r="K28" s="143"/>
      <c r="L28" s="138"/>
      <c r="M28" s="138"/>
      <c r="N28" s="138"/>
      <c r="O28" s="143"/>
      <c r="P28" s="145"/>
      <c r="Q28" s="138"/>
      <c r="R28" s="138"/>
      <c r="S28" s="143"/>
      <c r="T28" s="138"/>
      <c r="U28" s="138"/>
      <c r="V28" s="138"/>
      <c r="W28" s="143"/>
      <c r="X28" s="138"/>
      <c r="Y28" s="138"/>
      <c r="Z28" s="138"/>
      <c r="AA28" s="143"/>
      <c r="AB28" s="138"/>
      <c r="AC28" s="138"/>
      <c r="AD28" s="138"/>
      <c r="AE28" s="143"/>
      <c r="AF28" s="138"/>
      <c r="AG28" s="138"/>
      <c r="AH28" s="138"/>
      <c r="AI28" s="143"/>
      <c r="AJ28" s="138"/>
      <c r="AK28" s="138"/>
      <c r="AL28" s="138"/>
      <c r="AM28" s="143"/>
      <c r="AN28" s="138"/>
      <c r="AO28" s="138"/>
      <c r="AP28" s="138"/>
      <c r="AQ28" s="143"/>
      <c r="AR28" s="138"/>
      <c r="AS28" s="138"/>
      <c r="AT28" s="138"/>
      <c r="AU28" s="143"/>
      <c r="AV28" s="138"/>
      <c r="AW28" s="138"/>
      <c r="AX28" s="138"/>
      <c r="AY28" s="143"/>
      <c r="AZ28" s="138"/>
      <c r="BA28" s="138"/>
      <c r="BB28" s="138"/>
      <c r="BC28" s="143"/>
      <c r="BD28" s="138"/>
      <c r="BE28" s="138"/>
      <c r="BF28" s="138"/>
      <c r="BG28" s="143"/>
      <c r="BH28" s="138"/>
      <c r="BI28" s="138"/>
      <c r="BJ28" s="138"/>
      <c r="BK28" s="143"/>
      <c r="BL28" s="138"/>
      <c r="BM28" s="138"/>
      <c r="BN28" s="138"/>
      <c r="BO28" s="143"/>
      <c r="BP28" s="138"/>
      <c r="BQ28" s="138"/>
      <c r="BR28" s="138"/>
      <c r="BS28" s="143"/>
      <c r="BT28" s="138"/>
      <c r="BU28" s="138"/>
      <c r="BV28" s="138"/>
      <c r="BW28" s="143"/>
      <c r="BX28" s="138"/>
      <c r="BY28" s="138"/>
      <c r="BZ28" s="138"/>
      <c r="CA28" s="143"/>
      <c r="CB28" s="138"/>
      <c r="CC28" s="138"/>
      <c r="CD28" s="138"/>
      <c r="CE28" s="143"/>
      <c r="CF28" s="138"/>
      <c r="CG28" s="138"/>
      <c r="CH28" s="138"/>
      <c r="CI28" s="143"/>
      <c r="CJ28" s="138"/>
      <c r="CK28" s="138"/>
      <c r="CL28" s="138"/>
      <c r="CM28" s="143"/>
      <c r="CN28" s="138"/>
      <c r="CO28" s="138"/>
      <c r="CP28" s="138"/>
      <c r="CQ28" s="143"/>
      <c r="CR28" s="138"/>
      <c r="CS28" s="138"/>
      <c r="CT28" s="138"/>
      <c r="CU28" s="143"/>
      <c r="CV28" s="138"/>
      <c r="CW28" s="138"/>
      <c r="CX28" s="138"/>
      <c r="CY28" s="143"/>
    </row>
    <row r="29" spans="1:116" ht="15" customHeight="1" x14ac:dyDescent="0.25">
      <c r="A29" s="202" t="s">
        <v>212</v>
      </c>
      <c r="B29" s="68" t="s">
        <v>213</v>
      </c>
      <c r="C29" s="69"/>
      <c r="D29" s="208" t="s">
        <v>173</v>
      </c>
      <c r="E29" s="70"/>
      <c r="F29" s="70">
        <v>45638</v>
      </c>
      <c r="G29" s="71"/>
      <c r="H29" s="138"/>
      <c r="I29" s="138"/>
      <c r="J29" s="138"/>
      <c r="K29" s="143"/>
      <c r="L29" s="138"/>
      <c r="M29" s="138"/>
      <c r="N29" s="138"/>
      <c r="O29" s="143"/>
      <c r="P29" s="138"/>
      <c r="Q29" s="138" t="s">
        <v>174</v>
      </c>
      <c r="R29" s="138"/>
      <c r="S29" s="143"/>
      <c r="T29" s="138"/>
      <c r="U29" s="138"/>
      <c r="V29" s="138"/>
      <c r="W29" s="143"/>
      <c r="X29" s="138"/>
      <c r="Y29" s="138"/>
      <c r="Z29" s="138"/>
      <c r="AA29" s="143"/>
      <c r="AB29" s="138"/>
      <c r="AC29" s="138"/>
      <c r="AD29" s="138"/>
      <c r="AE29" s="143"/>
      <c r="AF29" s="138"/>
      <c r="AG29" s="138"/>
      <c r="AH29" s="138"/>
      <c r="AI29" s="143"/>
      <c r="AJ29" s="138"/>
      <c r="AK29" s="138"/>
      <c r="AL29" s="138"/>
      <c r="AM29" s="143"/>
      <c r="AN29" s="138"/>
      <c r="AO29" s="138"/>
      <c r="AP29" s="138"/>
      <c r="AQ29" s="143"/>
      <c r="AR29" s="138"/>
      <c r="AS29" s="138"/>
      <c r="AT29" s="138"/>
      <c r="AU29" s="143"/>
      <c r="AV29" s="138"/>
      <c r="AW29" s="138"/>
      <c r="AX29" s="138"/>
      <c r="AY29" s="143"/>
      <c r="AZ29" s="138"/>
      <c r="BA29" s="138"/>
      <c r="BB29" s="138"/>
      <c r="BC29" s="143"/>
      <c r="BD29" s="138"/>
      <c r="BE29" s="138"/>
      <c r="BF29" s="138"/>
      <c r="BG29" s="143"/>
      <c r="BH29" s="138"/>
      <c r="BI29" s="138"/>
      <c r="BJ29" s="138"/>
      <c r="BK29" s="143"/>
      <c r="BL29" s="138"/>
      <c r="BM29" s="138"/>
      <c r="BN29" s="138"/>
      <c r="BO29" s="143"/>
      <c r="BP29" s="138"/>
      <c r="BQ29" s="138"/>
      <c r="BR29" s="138"/>
      <c r="BS29" s="143"/>
      <c r="BT29" s="138"/>
      <c r="BU29" s="138"/>
      <c r="BV29" s="138"/>
      <c r="BW29" s="143"/>
      <c r="BX29" s="138"/>
      <c r="BY29" s="138"/>
      <c r="BZ29" s="138"/>
      <c r="CA29" s="143"/>
      <c r="CB29" s="138"/>
      <c r="CC29" s="138"/>
      <c r="CD29" s="138"/>
      <c r="CE29" s="143"/>
      <c r="CF29" s="138"/>
      <c r="CG29" s="138"/>
      <c r="CH29" s="138"/>
      <c r="CI29" s="143"/>
      <c r="CJ29" s="138"/>
      <c r="CK29" s="138"/>
      <c r="CL29" s="138"/>
      <c r="CM29" s="143"/>
      <c r="CN29" s="138"/>
      <c r="CO29" s="138"/>
      <c r="CP29" s="138"/>
      <c r="CQ29" s="143"/>
      <c r="CR29" s="138"/>
      <c r="CS29" s="138"/>
      <c r="CT29" s="138"/>
      <c r="CU29" s="143"/>
      <c r="CV29" s="138"/>
      <c r="CW29" s="138"/>
      <c r="CX29" s="138"/>
      <c r="CY29" s="143"/>
    </row>
    <row r="30" spans="1:116" ht="15.75" x14ac:dyDescent="0.25">
      <c r="A30" s="40"/>
      <c r="B30" s="39" t="s">
        <v>214</v>
      </c>
      <c r="C30" s="40"/>
      <c r="D30" s="41"/>
      <c r="E30" s="40"/>
      <c r="F30" s="41"/>
      <c r="G30" s="354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354"/>
      <c r="W30" s="354"/>
      <c r="X30" s="354"/>
      <c r="Y30" s="354"/>
      <c r="Z30" s="354"/>
      <c r="AA30" s="354"/>
      <c r="AB30" s="354"/>
      <c r="AC30" s="354"/>
      <c r="AD30" s="354"/>
      <c r="AE30" s="354"/>
      <c r="AF30" s="354"/>
      <c r="AG30" s="354"/>
      <c r="AH30" s="354"/>
      <c r="AI30" s="354"/>
      <c r="AJ30" s="354"/>
      <c r="AK30" s="354"/>
      <c r="AL30" s="354"/>
      <c r="AM30" s="354"/>
      <c r="AN30" s="354"/>
      <c r="AO30" s="354"/>
      <c r="AP30" s="354"/>
      <c r="AQ30" s="354"/>
      <c r="AR30" s="354"/>
      <c r="AS30" s="354"/>
      <c r="AT30" s="354"/>
      <c r="AU30" s="354"/>
      <c r="AV30" s="354"/>
      <c r="AW30" s="354"/>
      <c r="AX30" s="354"/>
      <c r="AY30" s="354"/>
      <c r="AZ30" s="354"/>
      <c r="BA30" s="354"/>
      <c r="BB30" s="354"/>
      <c r="BC30" s="354"/>
      <c r="BD30" s="354"/>
      <c r="BE30" s="354"/>
      <c r="BF30" s="354"/>
      <c r="BG30" s="354"/>
      <c r="BH30" s="354"/>
      <c r="BI30" s="354"/>
      <c r="BJ30" s="354"/>
      <c r="BK30" s="354"/>
      <c r="BL30" s="354"/>
      <c r="BM30" s="354"/>
      <c r="BN30" s="354"/>
      <c r="BO30" s="354"/>
      <c r="BP30" s="354"/>
      <c r="BQ30" s="354"/>
      <c r="BR30" s="354"/>
      <c r="BS30" s="354"/>
      <c r="BT30" s="354"/>
      <c r="BU30" s="354"/>
      <c r="BV30" s="354"/>
      <c r="BW30" s="354"/>
      <c r="BX30" s="354"/>
      <c r="BY30" s="354"/>
      <c r="BZ30" s="354"/>
      <c r="CA30" s="354"/>
      <c r="CB30" s="354"/>
      <c r="CC30" s="354"/>
      <c r="CD30" s="354"/>
      <c r="CE30" s="354"/>
      <c r="CF30" s="354"/>
      <c r="CG30" s="354"/>
      <c r="CH30" s="354"/>
      <c r="CI30" s="354"/>
      <c r="CJ30" s="354"/>
      <c r="CK30" s="354"/>
      <c r="CL30" s="354"/>
      <c r="CM30" s="354"/>
      <c r="CN30" s="354"/>
      <c r="CO30" s="354"/>
      <c r="CP30" s="354"/>
      <c r="CQ30" s="354"/>
      <c r="CR30" s="354"/>
      <c r="CS30" s="354"/>
      <c r="CT30" s="354"/>
      <c r="CU30" s="354"/>
      <c r="CV30" s="354"/>
      <c r="CW30" s="354"/>
      <c r="CX30" s="354"/>
      <c r="CY30" s="354"/>
    </row>
    <row r="31" spans="1:116" x14ac:dyDescent="0.25">
      <c r="A31" s="76" t="s">
        <v>215</v>
      </c>
      <c r="B31" s="77" t="s">
        <v>216</v>
      </c>
      <c r="C31" s="77" t="s">
        <v>217</v>
      </c>
      <c r="D31" s="78">
        <v>0.25</v>
      </c>
      <c r="E31" s="146">
        <v>45637</v>
      </c>
      <c r="F31" s="147">
        <v>45658</v>
      </c>
      <c r="H31" s="133"/>
      <c r="I31" s="133"/>
      <c r="J31" s="133"/>
      <c r="K31" s="134"/>
      <c r="L31" s="133"/>
      <c r="M31" s="133"/>
      <c r="N31" s="133"/>
      <c r="O31" s="134"/>
      <c r="P31" s="133"/>
      <c r="Q31" s="152"/>
      <c r="R31" s="154"/>
      <c r="S31" s="155"/>
      <c r="T31" s="133"/>
      <c r="U31" s="133"/>
      <c r="V31" s="133"/>
      <c r="W31" s="134"/>
      <c r="X31" s="133"/>
      <c r="Y31" s="133"/>
      <c r="Z31" s="133"/>
      <c r="AA31" s="134"/>
      <c r="AB31" s="133"/>
      <c r="AC31" s="133"/>
      <c r="AD31" s="133"/>
      <c r="AE31" s="134"/>
      <c r="AF31" s="133"/>
      <c r="AG31" s="133"/>
      <c r="AH31" s="133"/>
      <c r="AI31" s="134"/>
      <c r="AJ31" s="133"/>
      <c r="AK31" s="133"/>
      <c r="AL31" s="133"/>
      <c r="AM31" s="134"/>
      <c r="AN31" s="133"/>
      <c r="AO31" s="133"/>
      <c r="AP31" s="133"/>
      <c r="AQ31" s="134"/>
      <c r="AR31" s="133"/>
      <c r="AS31" s="133"/>
      <c r="AT31" s="133"/>
      <c r="AU31" s="134"/>
      <c r="AV31" s="133"/>
      <c r="AW31" s="133"/>
      <c r="AX31" s="133"/>
      <c r="AY31" s="134"/>
      <c r="AZ31" s="133"/>
      <c r="BA31" s="133"/>
      <c r="BB31" s="133"/>
      <c r="BC31" s="134"/>
      <c r="BD31" s="133"/>
      <c r="BE31" s="133"/>
      <c r="BF31" s="133"/>
      <c r="BG31" s="134"/>
      <c r="BH31" s="133"/>
      <c r="BI31" s="133"/>
      <c r="BJ31" s="133"/>
      <c r="BK31" s="134"/>
      <c r="BL31" s="133"/>
      <c r="BM31" s="133"/>
      <c r="BN31" s="133"/>
      <c r="BO31" s="134"/>
      <c r="BP31" s="133"/>
      <c r="BQ31" s="133"/>
      <c r="BR31" s="133"/>
      <c r="BS31" s="134"/>
      <c r="BT31" s="133"/>
      <c r="BU31" s="133"/>
      <c r="BV31" s="133"/>
      <c r="BW31" s="134"/>
      <c r="BX31" s="133"/>
      <c r="BY31" s="133"/>
      <c r="BZ31" s="133"/>
      <c r="CA31" s="134"/>
      <c r="CB31" s="133"/>
      <c r="CC31" s="133"/>
      <c r="CD31" s="133"/>
      <c r="CE31" s="134"/>
      <c r="CF31" s="133"/>
      <c r="CG31" s="133"/>
      <c r="CH31" s="133"/>
      <c r="CI31" s="134"/>
      <c r="CJ31" s="133"/>
      <c r="CK31" s="133"/>
      <c r="CL31" s="133"/>
      <c r="CM31" s="134"/>
      <c r="CN31" s="133"/>
      <c r="CO31" s="133"/>
      <c r="CP31" s="133"/>
      <c r="CQ31" s="134"/>
      <c r="CR31" s="133"/>
      <c r="CS31" s="133"/>
      <c r="CT31" s="133"/>
      <c r="CU31" s="134"/>
      <c r="CV31" s="133"/>
      <c r="CW31" s="133"/>
      <c r="CX31" s="133"/>
      <c r="CY31" s="134"/>
    </row>
    <row r="32" spans="1:116" x14ac:dyDescent="0.25">
      <c r="A32" s="73" t="s">
        <v>218</v>
      </c>
      <c r="B32" s="74" t="s">
        <v>219</v>
      </c>
      <c r="C32" s="74" t="s">
        <v>217</v>
      </c>
      <c r="D32" s="75">
        <v>0</v>
      </c>
      <c r="E32" s="148">
        <v>45644</v>
      </c>
      <c r="F32" s="149">
        <v>45665</v>
      </c>
      <c r="H32" s="136"/>
      <c r="I32" s="136"/>
      <c r="J32" s="136"/>
      <c r="K32" s="137"/>
      <c r="L32" s="136"/>
      <c r="M32" s="136"/>
      <c r="N32" s="136"/>
      <c r="O32" s="137"/>
      <c r="P32" s="136"/>
      <c r="Q32" s="136"/>
      <c r="R32" s="168"/>
      <c r="S32" s="153"/>
      <c r="T32" s="168"/>
      <c r="U32" s="136"/>
      <c r="V32" s="136"/>
      <c r="W32" s="137"/>
      <c r="X32" s="136"/>
      <c r="Y32" s="136"/>
      <c r="Z32" s="136"/>
      <c r="AA32" s="137"/>
      <c r="AB32" s="136"/>
      <c r="AC32" s="136"/>
      <c r="AD32" s="136"/>
      <c r="AE32" s="137"/>
      <c r="AF32" s="136"/>
      <c r="AG32" s="136"/>
      <c r="AH32" s="136"/>
      <c r="AI32" s="137"/>
      <c r="AJ32" s="136"/>
      <c r="AK32" s="136"/>
      <c r="AL32" s="136"/>
      <c r="AM32" s="137"/>
      <c r="AN32" s="136"/>
      <c r="AO32" s="136"/>
      <c r="AP32" s="136"/>
      <c r="AQ32" s="137"/>
      <c r="AR32" s="136"/>
      <c r="AS32" s="136"/>
      <c r="AT32" s="136"/>
      <c r="AU32" s="137"/>
      <c r="AV32" s="136"/>
      <c r="AW32" s="136"/>
      <c r="AX32" s="136"/>
      <c r="AY32" s="137"/>
      <c r="AZ32" s="136"/>
      <c r="BA32" s="136"/>
      <c r="BB32" s="136"/>
      <c r="BC32" s="137"/>
      <c r="BD32" s="136"/>
      <c r="BE32" s="136"/>
      <c r="BF32" s="136"/>
      <c r="BG32" s="137"/>
      <c r="BH32" s="136"/>
      <c r="BI32" s="136"/>
      <c r="BJ32" s="136"/>
      <c r="BK32" s="137"/>
      <c r="BL32" s="136"/>
      <c r="BM32" s="136"/>
      <c r="BN32" s="136"/>
      <c r="BO32" s="137"/>
      <c r="BP32" s="136"/>
      <c r="BQ32" s="136"/>
      <c r="BR32" s="136"/>
      <c r="BS32" s="137"/>
      <c r="BT32" s="136"/>
      <c r="BU32" s="136"/>
      <c r="BV32" s="136"/>
      <c r="BW32" s="137"/>
      <c r="BX32" s="136"/>
      <c r="BY32" s="136"/>
      <c r="BZ32" s="136"/>
      <c r="CA32" s="137"/>
      <c r="CB32" s="136"/>
      <c r="CC32" s="136"/>
      <c r="CD32" s="136"/>
      <c r="CE32" s="137"/>
      <c r="CF32" s="136"/>
      <c r="CG32" s="136"/>
      <c r="CH32" s="136"/>
      <c r="CI32" s="137"/>
      <c r="CJ32" s="136"/>
      <c r="CK32" s="136"/>
      <c r="CL32" s="136"/>
      <c r="CM32" s="137"/>
      <c r="CN32" s="136"/>
      <c r="CO32" s="136"/>
      <c r="CP32" s="136"/>
      <c r="CQ32" s="137"/>
      <c r="CR32" s="136"/>
      <c r="CS32" s="136"/>
      <c r="CT32" s="136"/>
      <c r="CU32" s="137"/>
      <c r="CV32" s="136"/>
      <c r="CW32" s="136"/>
      <c r="CX32" s="136"/>
      <c r="CY32" s="137"/>
    </row>
    <row r="33" spans="1:103" x14ac:dyDescent="0.25">
      <c r="A33" s="79" t="s">
        <v>220</v>
      </c>
      <c r="B33" s="80" t="s">
        <v>221</v>
      </c>
      <c r="C33" s="80" t="s">
        <v>222</v>
      </c>
      <c r="D33" s="81">
        <v>0.5</v>
      </c>
      <c r="E33" s="150">
        <v>45637</v>
      </c>
      <c r="F33" s="151">
        <v>45652</v>
      </c>
      <c r="H33" s="136"/>
      <c r="I33" s="136"/>
      <c r="J33" s="136"/>
      <c r="K33" s="137"/>
      <c r="L33" s="136"/>
      <c r="M33" s="136"/>
      <c r="N33" s="136"/>
      <c r="O33" s="137"/>
      <c r="P33" s="136"/>
      <c r="Q33" s="136"/>
      <c r="R33" s="152"/>
      <c r="S33" s="153"/>
      <c r="T33" s="136"/>
      <c r="U33" s="136"/>
      <c r="V33" s="136"/>
      <c r="W33" s="137"/>
      <c r="X33" s="136"/>
      <c r="Y33" s="136"/>
      <c r="Z33" s="136"/>
      <c r="AA33" s="137"/>
      <c r="AB33" s="136"/>
      <c r="AC33" s="136"/>
      <c r="AD33" s="136"/>
      <c r="AE33" s="137"/>
      <c r="AF33" s="136"/>
      <c r="AG33" s="136"/>
      <c r="AH33" s="136"/>
      <c r="AI33" s="137"/>
      <c r="AJ33" s="136"/>
      <c r="AK33" s="136"/>
      <c r="AL33" s="136"/>
      <c r="AM33" s="137"/>
      <c r="AN33" s="136"/>
      <c r="AO33" s="136"/>
      <c r="AP33" s="136"/>
      <c r="AQ33" s="137"/>
      <c r="AR33" s="136"/>
      <c r="AS33" s="136"/>
      <c r="AT33" s="136"/>
      <c r="AU33" s="137"/>
      <c r="AV33" s="136"/>
      <c r="AW33" s="136"/>
      <c r="AX33" s="136"/>
      <c r="AY33" s="137"/>
      <c r="AZ33" s="136"/>
      <c r="BA33" s="136"/>
      <c r="BB33" s="136"/>
      <c r="BC33" s="137"/>
      <c r="BD33" s="136"/>
      <c r="BE33" s="136"/>
      <c r="BF33" s="136"/>
      <c r="BG33" s="137"/>
      <c r="BH33" s="136"/>
      <c r="BI33" s="136"/>
      <c r="BJ33" s="136"/>
      <c r="BK33" s="137"/>
      <c r="BL33" s="136"/>
      <c r="BM33" s="136"/>
      <c r="BN33" s="136"/>
      <c r="BO33" s="137"/>
      <c r="BP33" s="136"/>
      <c r="BQ33" s="136"/>
      <c r="BR33" s="136"/>
      <c r="BS33" s="137"/>
      <c r="BT33" s="136"/>
      <c r="BU33" s="136"/>
      <c r="BV33" s="136"/>
      <c r="BW33" s="137"/>
      <c r="BX33" s="136"/>
      <c r="BY33" s="136"/>
      <c r="BZ33" s="136"/>
      <c r="CA33" s="137"/>
      <c r="CB33" s="136"/>
      <c r="CC33" s="136"/>
      <c r="CD33" s="136"/>
      <c r="CE33" s="137"/>
      <c r="CF33" s="136"/>
      <c r="CG33" s="136"/>
      <c r="CH33" s="136"/>
      <c r="CI33" s="137"/>
      <c r="CJ33" s="136"/>
      <c r="CK33" s="136"/>
      <c r="CL33" s="136"/>
      <c r="CM33" s="137"/>
      <c r="CN33" s="136"/>
      <c r="CO33" s="136"/>
      <c r="CP33" s="136"/>
      <c r="CQ33" s="137"/>
      <c r="CR33" s="136"/>
      <c r="CS33" s="136"/>
      <c r="CT33" s="136"/>
      <c r="CU33" s="137"/>
      <c r="CV33" s="136"/>
      <c r="CW33" s="136"/>
      <c r="CX33" s="136"/>
      <c r="CY33" s="137"/>
    </row>
    <row r="34" spans="1:103" x14ac:dyDescent="0.25">
      <c r="A34" s="79" t="s">
        <v>223</v>
      </c>
      <c r="B34" s="80" t="s">
        <v>224</v>
      </c>
      <c r="C34" s="80" t="s">
        <v>225</v>
      </c>
      <c r="D34" s="81">
        <v>0.25</v>
      </c>
      <c r="E34" s="150">
        <v>45638</v>
      </c>
      <c r="F34" s="151">
        <v>45652</v>
      </c>
      <c r="H34" s="136"/>
      <c r="I34" s="136"/>
      <c r="J34" s="136"/>
      <c r="K34" s="137"/>
      <c r="L34" s="136"/>
      <c r="M34" s="136"/>
      <c r="N34" s="136"/>
      <c r="O34" s="137"/>
      <c r="P34" s="136"/>
      <c r="Q34" s="136"/>
      <c r="R34" s="169"/>
      <c r="S34" s="153"/>
      <c r="T34" s="136"/>
      <c r="U34" s="136"/>
      <c r="V34" s="136"/>
      <c r="W34" s="137"/>
      <c r="X34" s="136"/>
      <c r="Y34" s="136"/>
      <c r="Z34" s="136"/>
      <c r="AA34" s="137"/>
      <c r="AB34" s="136"/>
      <c r="AC34" s="136"/>
      <c r="AD34" s="136"/>
      <c r="AE34" s="137"/>
      <c r="AF34" s="136"/>
      <c r="AG34" s="136"/>
      <c r="AH34" s="136"/>
      <c r="AI34" s="137"/>
      <c r="AJ34" s="136"/>
      <c r="AK34" s="136"/>
      <c r="AL34" s="136"/>
      <c r="AM34" s="137"/>
      <c r="AN34" s="136"/>
      <c r="AO34" s="136"/>
      <c r="AP34" s="136"/>
      <c r="AQ34" s="137"/>
      <c r="AR34" s="136"/>
      <c r="AS34" s="136"/>
      <c r="AT34" s="136"/>
      <c r="AU34" s="137"/>
      <c r="AV34" s="136"/>
      <c r="AW34" s="136"/>
      <c r="AX34" s="136"/>
      <c r="AY34" s="137"/>
      <c r="AZ34" s="136"/>
      <c r="BA34" s="136"/>
      <c r="BB34" s="136"/>
      <c r="BC34" s="137"/>
      <c r="BD34" s="136"/>
      <c r="BE34" s="136"/>
      <c r="BF34" s="136"/>
      <c r="BG34" s="137"/>
      <c r="BH34" s="136"/>
      <c r="BI34" s="136"/>
      <c r="BJ34" s="136"/>
      <c r="BK34" s="137"/>
      <c r="BL34" s="136"/>
      <c r="BM34" s="136"/>
      <c r="BN34" s="136"/>
      <c r="BO34" s="137"/>
      <c r="BP34" s="136"/>
      <c r="BQ34" s="136"/>
      <c r="BR34" s="136"/>
      <c r="BS34" s="137"/>
      <c r="BT34" s="136"/>
      <c r="BU34" s="136"/>
      <c r="BV34" s="136"/>
      <c r="BW34" s="137"/>
      <c r="BX34" s="136"/>
      <c r="BY34" s="136"/>
      <c r="BZ34" s="136"/>
      <c r="CA34" s="137"/>
      <c r="CB34" s="136"/>
      <c r="CC34" s="136"/>
      <c r="CD34" s="136"/>
      <c r="CE34" s="137"/>
      <c r="CF34" s="136"/>
      <c r="CG34" s="136"/>
      <c r="CH34" s="136"/>
      <c r="CI34" s="137"/>
      <c r="CJ34" s="136"/>
      <c r="CK34" s="136"/>
      <c r="CL34" s="136"/>
      <c r="CM34" s="137"/>
      <c r="CN34" s="136"/>
      <c r="CO34" s="136"/>
      <c r="CP34" s="136"/>
      <c r="CQ34" s="137"/>
      <c r="CR34" s="136"/>
      <c r="CS34" s="136"/>
      <c r="CT34" s="136"/>
      <c r="CU34" s="137"/>
      <c r="CV34" s="136"/>
      <c r="CW34" s="136"/>
      <c r="CX34" s="136"/>
      <c r="CY34" s="137"/>
    </row>
    <row r="35" spans="1:103" x14ac:dyDescent="0.25">
      <c r="A35" s="79" t="s">
        <v>226</v>
      </c>
      <c r="B35" s="80" t="s">
        <v>227</v>
      </c>
      <c r="C35" s="80" t="s">
        <v>228</v>
      </c>
      <c r="D35" s="81">
        <v>0.25</v>
      </c>
      <c r="E35" s="150">
        <v>45641</v>
      </c>
      <c r="F35" s="151">
        <v>45648</v>
      </c>
      <c r="H35" s="136"/>
      <c r="I35" s="136"/>
      <c r="J35" s="136"/>
      <c r="K35" s="137"/>
      <c r="L35" s="136"/>
      <c r="M35" s="136"/>
      <c r="N35" s="136"/>
      <c r="O35" s="137"/>
      <c r="P35" s="136"/>
      <c r="Q35" s="136"/>
      <c r="R35" s="169"/>
      <c r="S35" s="153"/>
      <c r="T35" s="136"/>
      <c r="U35" s="136"/>
      <c r="V35" s="136"/>
      <c r="W35" s="137"/>
      <c r="X35" s="136"/>
      <c r="Y35" s="136"/>
      <c r="Z35" s="136"/>
      <c r="AA35" s="137"/>
      <c r="AB35" s="136"/>
      <c r="AC35" s="136"/>
      <c r="AD35" s="136"/>
      <c r="AE35" s="137"/>
      <c r="AF35" s="136"/>
      <c r="AG35" s="136"/>
      <c r="AH35" s="136"/>
      <c r="AI35" s="137"/>
      <c r="AJ35" s="136"/>
      <c r="AK35" s="136"/>
      <c r="AL35" s="136"/>
      <c r="AM35" s="137"/>
      <c r="AN35" s="136"/>
      <c r="AO35" s="136"/>
      <c r="AP35" s="136"/>
      <c r="AQ35" s="137"/>
      <c r="AR35" s="136"/>
      <c r="AS35" s="136"/>
      <c r="AT35" s="136"/>
      <c r="AU35" s="137"/>
      <c r="AV35" s="136"/>
      <c r="AW35" s="136"/>
      <c r="AX35" s="136"/>
      <c r="AY35" s="137"/>
      <c r="AZ35" s="136"/>
      <c r="BA35" s="136"/>
      <c r="BB35" s="136"/>
      <c r="BC35" s="137"/>
      <c r="BD35" s="136"/>
      <c r="BE35" s="136"/>
      <c r="BF35" s="136"/>
      <c r="BG35" s="137"/>
      <c r="BH35" s="136"/>
      <c r="BI35" s="136"/>
      <c r="BJ35" s="136"/>
      <c r="BK35" s="137"/>
      <c r="BL35" s="136"/>
      <c r="BM35" s="136"/>
      <c r="BN35" s="136"/>
      <c r="BO35" s="137"/>
      <c r="BP35" s="136"/>
      <c r="BQ35" s="136"/>
      <c r="BR35" s="136"/>
      <c r="BS35" s="137"/>
      <c r="BT35" s="136"/>
      <c r="BU35" s="136"/>
      <c r="BV35" s="136"/>
      <c r="BW35" s="137"/>
      <c r="BX35" s="136"/>
      <c r="BY35" s="136"/>
      <c r="BZ35" s="136"/>
      <c r="CA35" s="137"/>
      <c r="CB35" s="136"/>
      <c r="CC35" s="136"/>
      <c r="CD35" s="136"/>
      <c r="CE35" s="137"/>
      <c r="CF35" s="136"/>
      <c r="CG35" s="136"/>
      <c r="CH35" s="136"/>
      <c r="CI35" s="137"/>
      <c r="CJ35" s="136"/>
      <c r="CK35" s="136"/>
      <c r="CL35" s="136"/>
      <c r="CM35" s="137"/>
      <c r="CN35" s="136"/>
      <c r="CO35" s="136"/>
      <c r="CP35" s="136"/>
      <c r="CQ35" s="137"/>
      <c r="CR35" s="136"/>
      <c r="CS35" s="136"/>
      <c r="CT35" s="136"/>
      <c r="CU35" s="137"/>
      <c r="CV35" s="136"/>
      <c r="CW35" s="136"/>
      <c r="CX35" s="136"/>
      <c r="CY35" s="137"/>
    </row>
    <row r="36" spans="1:103" x14ac:dyDescent="0.25">
      <c r="A36" s="79" t="s">
        <v>229</v>
      </c>
      <c r="B36" s="80" t="s">
        <v>230</v>
      </c>
      <c r="C36" s="80" t="s">
        <v>225</v>
      </c>
      <c r="D36" s="81">
        <v>0.5</v>
      </c>
      <c r="E36" s="150">
        <v>45641</v>
      </c>
      <c r="F36" s="151">
        <v>45655</v>
      </c>
      <c r="H36" s="136"/>
      <c r="I36" s="136"/>
      <c r="J36" s="136"/>
      <c r="K36" s="137"/>
      <c r="L36" s="136"/>
      <c r="M36" s="136"/>
      <c r="N36" s="136"/>
      <c r="O36" s="137"/>
      <c r="P36" s="136"/>
      <c r="Q36" s="136"/>
      <c r="R36" s="169"/>
      <c r="S36" s="153"/>
      <c r="T36" s="136"/>
      <c r="U36" s="136"/>
      <c r="V36" s="136"/>
      <c r="W36" s="137"/>
      <c r="X36" s="136"/>
      <c r="Y36" s="136"/>
      <c r="Z36" s="136"/>
      <c r="AA36" s="137"/>
      <c r="AB36" s="136"/>
      <c r="AC36" s="136"/>
      <c r="AD36" s="136"/>
      <c r="AE36" s="137"/>
      <c r="AF36" s="136"/>
      <c r="AG36" s="136"/>
      <c r="AH36" s="136"/>
      <c r="AI36" s="137"/>
      <c r="AJ36" s="136"/>
      <c r="AK36" s="136"/>
      <c r="AL36" s="136"/>
      <c r="AM36" s="137"/>
      <c r="AN36" s="136"/>
      <c r="AO36" s="136"/>
      <c r="AP36" s="136"/>
      <c r="AQ36" s="137"/>
      <c r="AR36" s="136"/>
      <c r="AS36" s="136"/>
      <c r="AT36" s="136"/>
      <c r="AU36" s="137"/>
      <c r="AV36" s="136"/>
      <c r="AW36" s="136"/>
      <c r="AX36" s="136"/>
      <c r="AY36" s="137"/>
      <c r="AZ36" s="136"/>
      <c r="BA36" s="136"/>
      <c r="BB36" s="136"/>
      <c r="BC36" s="137"/>
      <c r="BD36" s="136"/>
      <c r="BE36" s="136"/>
      <c r="BF36" s="136"/>
      <c r="BG36" s="137"/>
      <c r="BH36" s="136"/>
      <c r="BI36" s="136"/>
      <c r="BJ36" s="136"/>
      <c r="BK36" s="137"/>
      <c r="BL36" s="136"/>
      <c r="BM36" s="136"/>
      <c r="BN36" s="136"/>
      <c r="BO36" s="137"/>
      <c r="BP36" s="136"/>
      <c r="BQ36" s="136"/>
      <c r="BR36" s="136"/>
      <c r="BS36" s="137"/>
      <c r="BT36" s="136"/>
      <c r="BU36" s="136"/>
      <c r="BV36" s="136"/>
      <c r="BW36" s="137"/>
      <c r="BX36" s="136"/>
      <c r="BY36" s="136"/>
      <c r="BZ36" s="136"/>
      <c r="CA36" s="137"/>
      <c r="CB36" s="136"/>
      <c r="CC36" s="136"/>
      <c r="CD36" s="136"/>
      <c r="CE36" s="137"/>
      <c r="CF36" s="136"/>
      <c r="CG36" s="136"/>
      <c r="CH36" s="136"/>
      <c r="CI36" s="137"/>
      <c r="CJ36" s="136"/>
      <c r="CK36" s="136"/>
      <c r="CL36" s="136"/>
      <c r="CM36" s="137"/>
      <c r="CN36" s="136"/>
      <c r="CO36" s="136"/>
      <c r="CP36" s="136"/>
      <c r="CQ36" s="137"/>
      <c r="CR36" s="136"/>
      <c r="CS36" s="136"/>
      <c r="CT36" s="136"/>
      <c r="CU36" s="137"/>
      <c r="CV36" s="136"/>
      <c r="CW36" s="136"/>
      <c r="CX36" s="136"/>
      <c r="CY36" s="137"/>
    </row>
    <row r="37" spans="1:103" x14ac:dyDescent="0.25">
      <c r="A37" s="79" t="s">
        <v>231</v>
      </c>
      <c r="B37" s="80" t="s">
        <v>232</v>
      </c>
      <c r="C37" s="80" t="s">
        <v>225</v>
      </c>
      <c r="D37" s="81">
        <v>0</v>
      </c>
      <c r="E37" s="150">
        <v>45656</v>
      </c>
      <c r="F37" s="151">
        <v>45663</v>
      </c>
      <c r="H37" s="136"/>
      <c r="I37" s="136"/>
      <c r="J37" s="136"/>
      <c r="K37" s="137"/>
      <c r="L37" s="136"/>
      <c r="M37" s="136"/>
      <c r="N37" s="136"/>
      <c r="O37" s="137"/>
      <c r="P37" s="136"/>
      <c r="Q37" s="136"/>
      <c r="R37" s="136"/>
      <c r="S37" s="153"/>
      <c r="T37" s="168"/>
      <c r="U37" s="136"/>
      <c r="V37" s="136"/>
      <c r="W37" s="137"/>
      <c r="X37" s="136"/>
      <c r="Y37" s="136"/>
      <c r="Z37" s="136"/>
      <c r="AA37" s="137"/>
      <c r="AB37" s="136"/>
      <c r="AC37" s="136"/>
      <c r="AD37" s="136"/>
      <c r="AE37" s="137"/>
      <c r="AF37" s="136"/>
      <c r="AG37" s="136"/>
      <c r="AH37" s="136"/>
      <c r="AI37" s="137"/>
      <c r="AJ37" s="136"/>
      <c r="AK37" s="136"/>
      <c r="AL37" s="136"/>
      <c r="AM37" s="137"/>
      <c r="AN37" s="136"/>
      <c r="AO37" s="136"/>
      <c r="AP37" s="136"/>
      <c r="AQ37" s="137"/>
      <c r="AR37" s="136"/>
      <c r="AS37" s="136"/>
      <c r="AT37" s="136"/>
      <c r="AU37" s="137"/>
      <c r="AV37" s="136"/>
      <c r="AW37" s="136"/>
      <c r="AX37" s="136"/>
      <c r="AY37" s="137"/>
      <c r="AZ37" s="136"/>
      <c r="BA37" s="136"/>
      <c r="BB37" s="136"/>
      <c r="BC37" s="137"/>
      <c r="BD37" s="136"/>
      <c r="BE37" s="136"/>
      <c r="BF37" s="136"/>
      <c r="BG37" s="137"/>
      <c r="BH37" s="136"/>
      <c r="BI37" s="136"/>
      <c r="BJ37" s="136"/>
      <c r="BK37" s="137"/>
      <c r="BL37" s="136"/>
      <c r="BM37" s="136"/>
      <c r="BN37" s="136"/>
      <c r="BO37" s="137"/>
      <c r="BP37" s="136"/>
      <c r="BQ37" s="136"/>
      <c r="BR37" s="136"/>
      <c r="BS37" s="137"/>
      <c r="BT37" s="136"/>
      <c r="BU37" s="136"/>
      <c r="BV37" s="136"/>
      <c r="BW37" s="137"/>
      <c r="BX37" s="136"/>
      <c r="BY37" s="136"/>
      <c r="BZ37" s="136"/>
      <c r="CA37" s="137"/>
      <c r="CB37" s="136"/>
      <c r="CC37" s="136"/>
      <c r="CD37" s="136"/>
      <c r="CE37" s="137"/>
      <c r="CF37" s="136"/>
      <c r="CG37" s="136"/>
      <c r="CH37" s="136"/>
      <c r="CI37" s="137"/>
      <c r="CJ37" s="136"/>
      <c r="CK37" s="136"/>
      <c r="CL37" s="136"/>
      <c r="CM37" s="137"/>
      <c r="CN37" s="136"/>
      <c r="CO37" s="136"/>
      <c r="CP37" s="136"/>
      <c r="CQ37" s="137"/>
      <c r="CR37" s="136"/>
      <c r="CS37" s="136"/>
      <c r="CT37" s="136"/>
      <c r="CU37" s="137"/>
      <c r="CV37" s="136"/>
      <c r="CW37" s="136"/>
      <c r="CX37" s="136"/>
      <c r="CY37" s="137"/>
    </row>
    <row r="38" spans="1:103" x14ac:dyDescent="0.25">
      <c r="A38" s="205" t="s">
        <v>233</v>
      </c>
      <c r="B38" s="80" t="s">
        <v>234</v>
      </c>
      <c r="C38" s="80"/>
      <c r="D38" s="209" t="s">
        <v>235</v>
      </c>
      <c r="E38" s="150"/>
      <c r="F38" s="151">
        <v>45653</v>
      </c>
      <c r="H38" s="136"/>
      <c r="I38" s="136"/>
      <c r="J38" s="136"/>
      <c r="K38" s="137"/>
      <c r="L38" s="136"/>
      <c r="M38" s="136"/>
      <c r="N38" s="136"/>
      <c r="O38" s="137"/>
      <c r="P38" s="136"/>
      <c r="Q38" s="136"/>
      <c r="R38" s="136"/>
      <c r="S38" s="137"/>
      <c r="T38" s="204" t="s">
        <v>174</v>
      </c>
      <c r="U38" s="136"/>
      <c r="V38" s="136"/>
      <c r="W38" s="137"/>
      <c r="X38" s="136"/>
      <c r="Y38" s="136"/>
      <c r="Z38" s="136"/>
      <c r="AA38" s="137"/>
      <c r="AB38" s="136"/>
      <c r="AC38" s="136"/>
      <c r="AD38" s="136"/>
      <c r="AE38" s="137"/>
      <c r="AF38" s="136"/>
      <c r="AG38" s="136"/>
      <c r="AH38" s="136"/>
      <c r="AI38" s="137"/>
      <c r="AJ38" s="136"/>
      <c r="AK38" s="136"/>
      <c r="AL38" s="136"/>
      <c r="AM38" s="137"/>
      <c r="AN38" s="136"/>
      <c r="AO38" s="136"/>
      <c r="AP38" s="136"/>
      <c r="AQ38" s="137"/>
      <c r="AR38" s="136"/>
      <c r="AS38" s="136"/>
      <c r="AT38" s="136"/>
      <c r="AU38" s="137"/>
      <c r="AV38" s="136"/>
      <c r="AW38" s="136"/>
      <c r="AX38" s="136"/>
      <c r="AY38" s="137"/>
      <c r="AZ38" s="136"/>
      <c r="BA38" s="136"/>
      <c r="BB38" s="136"/>
      <c r="BC38" s="137"/>
      <c r="BD38" s="136"/>
      <c r="BE38" s="136"/>
      <c r="BF38" s="136"/>
      <c r="BG38" s="137"/>
      <c r="BH38" s="136"/>
      <c r="BI38" s="136"/>
      <c r="BJ38" s="136"/>
      <c r="BK38" s="137"/>
      <c r="BL38" s="136"/>
      <c r="BM38" s="136"/>
      <c r="BN38" s="136"/>
      <c r="BO38" s="137"/>
      <c r="BP38" s="136"/>
      <c r="BQ38" s="136"/>
      <c r="BR38" s="136"/>
      <c r="BS38" s="137"/>
      <c r="BT38" s="136"/>
      <c r="BU38" s="136"/>
      <c r="BV38" s="136"/>
      <c r="BW38" s="137"/>
      <c r="BX38" s="136"/>
      <c r="BY38" s="136"/>
      <c r="BZ38" s="136"/>
      <c r="CA38" s="137"/>
      <c r="CB38" s="136"/>
      <c r="CC38" s="136"/>
      <c r="CD38" s="136"/>
      <c r="CE38" s="137"/>
      <c r="CF38" s="136"/>
      <c r="CG38" s="136"/>
      <c r="CH38" s="136"/>
      <c r="CI38" s="137"/>
      <c r="CJ38" s="136"/>
      <c r="CK38" s="136"/>
      <c r="CL38" s="136"/>
      <c r="CM38" s="137"/>
      <c r="CN38" s="136"/>
      <c r="CO38" s="136"/>
      <c r="CP38" s="136"/>
      <c r="CQ38" s="137"/>
      <c r="CR38" s="136"/>
      <c r="CS38" s="136"/>
      <c r="CT38" s="136"/>
      <c r="CU38" s="137"/>
      <c r="CV38" s="136"/>
      <c r="CW38" s="136"/>
      <c r="CX38" s="136"/>
      <c r="CY38" s="137"/>
    </row>
    <row r="39" spans="1:103" x14ac:dyDescent="0.25">
      <c r="A39" s="79" t="s">
        <v>236</v>
      </c>
      <c r="B39" s="80" t="s">
        <v>237</v>
      </c>
      <c r="C39" s="80" t="s">
        <v>228</v>
      </c>
      <c r="D39" s="81">
        <v>0</v>
      </c>
      <c r="E39" s="150">
        <v>45664</v>
      </c>
      <c r="F39" s="151">
        <v>45678</v>
      </c>
      <c r="H39" s="136"/>
      <c r="I39" s="136"/>
      <c r="J39" s="136"/>
      <c r="K39" s="137"/>
      <c r="L39" s="136"/>
      <c r="M39" s="136"/>
      <c r="N39" s="136"/>
      <c r="O39" s="137"/>
      <c r="P39" s="136"/>
      <c r="Q39" s="136"/>
      <c r="R39" s="136"/>
      <c r="S39" s="137"/>
      <c r="T39" s="136"/>
      <c r="U39" s="168"/>
      <c r="V39" s="168"/>
      <c r="W39" s="137"/>
      <c r="X39" s="136"/>
      <c r="Y39" s="136"/>
      <c r="Z39" s="136"/>
      <c r="AA39" s="137"/>
      <c r="AB39" s="136"/>
      <c r="AC39" s="136"/>
      <c r="AD39" s="136"/>
      <c r="AE39" s="137"/>
      <c r="AF39" s="136"/>
      <c r="AG39" s="136"/>
      <c r="AH39" s="136"/>
      <c r="AI39" s="137"/>
      <c r="AJ39" s="136"/>
      <c r="AK39" s="136"/>
      <c r="AL39" s="136"/>
      <c r="AM39" s="137"/>
      <c r="AN39" s="136"/>
      <c r="AO39" s="136"/>
      <c r="AP39" s="136"/>
      <c r="AQ39" s="137"/>
      <c r="AR39" s="136"/>
      <c r="AS39" s="136"/>
      <c r="AT39" s="136"/>
      <c r="AU39" s="137"/>
      <c r="AV39" s="136"/>
      <c r="AW39" s="136"/>
      <c r="AX39" s="136"/>
      <c r="AY39" s="137"/>
      <c r="AZ39" s="136"/>
      <c r="BA39" s="136"/>
      <c r="BB39" s="136"/>
      <c r="BC39" s="137"/>
      <c r="BD39" s="136"/>
      <c r="BE39" s="136"/>
      <c r="BF39" s="136"/>
      <c r="BG39" s="137"/>
      <c r="BH39" s="136"/>
      <c r="BI39" s="136"/>
      <c r="BJ39" s="136"/>
      <c r="BK39" s="137"/>
      <c r="BL39" s="136"/>
      <c r="BM39" s="136"/>
      <c r="BN39" s="136"/>
      <c r="BO39" s="137"/>
      <c r="BP39" s="136"/>
      <c r="BQ39" s="136"/>
      <c r="BR39" s="136"/>
      <c r="BS39" s="137"/>
      <c r="BT39" s="136"/>
      <c r="BU39" s="136"/>
      <c r="BV39" s="136"/>
      <c r="BW39" s="137"/>
      <c r="BX39" s="136"/>
      <c r="BY39" s="136"/>
      <c r="BZ39" s="136"/>
      <c r="CA39" s="137"/>
      <c r="CB39" s="136"/>
      <c r="CC39" s="136"/>
      <c r="CD39" s="136"/>
      <c r="CE39" s="137"/>
      <c r="CF39" s="136"/>
      <c r="CG39" s="136"/>
      <c r="CH39" s="136"/>
      <c r="CI39" s="137"/>
      <c r="CJ39" s="136"/>
      <c r="CK39" s="136"/>
      <c r="CL39" s="136"/>
      <c r="CM39" s="137"/>
      <c r="CN39" s="136"/>
      <c r="CO39" s="136"/>
      <c r="CP39" s="136"/>
      <c r="CQ39" s="137"/>
      <c r="CR39" s="136"/>
      <c r="CS39" s="136"/>
      <c r="CT39" s="136"/>
      <c r="CU39" s="137"/>
      <c r="CV39" s="136"/>
      <c r="CW39" s="136"/>
      <c r="CX39" s="136"/>
      <c r="CY39" s="137"/>
    </row>
    <row r="40" spans="1:103" x14ac:dyDescent="0.25">
      <c r="A40" s="79" t="s">
        <v>238</v>
      </c>
      <c r="B40" s="80" t="s">
        <v>239</v>
      </c>
      <c r="C40" s="80" t="s">
        <v>228</v>
      </c>
      <c r="D40" s="81">
        <v>0</v>
      </c>
      <c r="E40" s="150">
        <v>45678</v>
      </c>
      <c r="F40" s="151">
        <v>45685</v>
      </c>
      <c r="G40" s="22"/>
      <c r="H40" s="138"/>
      <c r="I40" s="138"/>
      <c r="J40" s="138"/>
      <c r="K40" s="143"/>
      <c r="L40" s="138"/>
      <c r="M40" s="138"/>
      <c r="N40" s="138"/>
      <c r="O40" s="143"/>
      <c r="P40" s="138"/>
      <c r="Q40" s="138"/>
      <c r="R40" s="138"/>
      <c r="S40" s="143"/>
      <c r="T40" s="138"/>
      <c r="U40" s="138"/>
      <c r="V40" s="138"/>
      <c r="W40" s="170"/>
      <c r="X40" s="138"/>
      <c r="Y40" s="138"/>
      <c r="Z40" s="138"/>
      <c r="AA40" s="143"/>
      <c r="AB40" s="138"/>
      <c r="AC40" s="138"/>
      <c r="AD40" s="138"/>
      <c r="AE40" s="143"/>
      <c r="AF40" s="138"/>
      <c r="AG40" s="138"/>
      <c r="AH40" s="138"/>
      <c r="AI40" s="143"/>
      <c r="AJ40" s="138"/>
      <c r="AK40" s="138"/>
      <c r="AL40" s="138"/>
      <c r="AM40" s="143"/>
      <c r="AN40" s="138"/>
      <c r="AO40" s="138"/>
      <c r="AP40" s="138"/>
      <c r="AQ40" s="143"/>
      <c r="AR40" s="138"/>
      <c r="AS40" s="138"/>
      <c r="AT40" s="138"/>
      <c r="AU40" s="143"/>
      <c r="AV40" s="138"/>
      <c r="AW40" s="138"/>
      <c r="AX40" s="138"/>
      <c r="AY40" s="143"/>
      <c r="AZ40" s="138"/>
      <c r="BA40" s="138"/>
      <c r="BB40" s="138"/>
      <c r="BC40" s="143"/>
      <c r="BD40" s="138"/>
      <c r="BE40" s="138"/>
      <c r="BF40" s="138"/>
      <c r="BG40" s="143"/>
      <c r="BH40" s="138"/>
      <c r="BI40" s="138"/>
      <c r="BJ40" s="138"/>
      <c r="BK40" s="143"/>
      <c r="BL40" s="138"/>
      <c r="BM40" s="138"/>
      <c r="BN40" s="138"/>
      <c r="BO40" s="143"/>
      <c r="BP40" s="138"/>
      <c r="BQ40" s="138"/>
      <c r="BR40" s="138"/>
      <c r="BS40" s="143"/>
      <c r="BT40" s="138"/>
      <c r="BU40" s="138"/>
      <c r="BV40" s="138"/>
      <c r="BW40" s="143"/>
      <c r="BX40" s="138"/>
      <c r="BY40" s="138"/>
      <c r="BZ40" s="138"/>
      <c r="CA40" s="143"/>
      <c r="CB40" s="138"/>
      <c r="CC40" s="138"/>
      <c r="CD40" s="138"/>
      <c r="CE40" s="143"/>
      <c r="CF40" s="138"/>
      <c r="CG40" s="138"/>
      <c r="CH40" s="138"/>
      <c r="CI40" s="143"/>
      <c r="CJ40" s="138"/>
      <c r="CK40" s="138"/>
      <c r="CL40" s="138"/>
      <c r="CM40" s="143"/>
      <c r="CN40" s="138"/>
      <c r="CO40" s="138"/>
      <c r="CP40" s="138"/>
      <c r="CQ40" s="143"/>
      <c r="CR40" s="138"/>
      <c r="CS40" s="138"/>
      <c r="CT40" s="138"/>
      <c r="CU40" s="143"/>
      <c r="CV40" s="138"/>
      <c r="CW40" s="138"/>
      <c r="CX40" s="138"/>
      <c r="CY40" s="143"/>
    </row>
    <row r="41" spans="1:103" x14ac:dyDescent="0.25">
      <c r="A41" s="205" t="s">
        <v>240</v>
      </c>
      <c r="B41" s="80" t="s">
        <v>241</v>
      </c>
      <c r="C41" s="80"/>
      <c r="D41" s="209" t="s">
        <v>242</v>
      </c>
      <c r="E41" s="150"/>
      <c r="F41" s="151">
        <v>45686</v>
      </c>
      <c r="H41" s="136"/>
      <c r="I41" s="136"/>
      <c r="J41" s="136"/>
      <c r="K41" s="137"/>
      <c r="L41" s="136"/>
      <c r="M41" s="136"/>
      <c r="N41" s="136"/>
      <c r="O41" s="137"/>
      <c r="P41" s="136"/>
      <c r="Q41" s="136"/>
      <c r="R41" s="136"/>
      <c r="S41" s="137"/>
      <c r="T41" s="136"/>
      <c r="U41" s="136"/>
      <c r="V41" s="136"/>
      <c r="W41" s="137" t="s">
        <v>174</v>
      </c>
      <c r="X41" s="136"/>
      <c r="Y41" s="136"/>
      <c r="Z41" s="136"/>
      <c r="AA41" s="137"/>
      <c r="AB41" s="136"/>
      <c r="AC41" s="136"/>
      <c r="AD41" s="136"/>
      <c r="AE41" s="137"/>
      <c r="AF41" s="136"/>
      <c r="AG41" s="136"/>
      <c r="AH41" s="136"/>
      <c r="AI41" s="137"/>
      <c r="AJ41" s="136"/>
      <c r="AK41" s="136"/>
      <c r="AL41" s="136"/>
      <c r="AM41" s="137"/>
      <c r="AN41" s="136"/>
      <c r="AO41" s="136"/>
      <c r="AP41" s="136"/>
      <c r="AQ41" s="137"/>
      <c r="AR41" s="136"/>
      <c r="AS41" s="136"/>
      <c r="AT41" s="136"/>
      <c r="AU41" s="137"/>
      <c r="AV41" s="136"/>
      <c r="AW41" s="136"/>
      <c r="AX41" s="136"/>
      <c r="AY41" s="137"/>
      <c r="AZ41" s="136"/>
      <c r="BA41" s="136"/>
      <c r="BB41" s="136"/>
      <c r="BC41" s="137"/>
      <c r="BD41" s="136"/>
      <c r="BE41" s="136"/>
      <c r="BF41" s="136"/>
      <c r="BG41" s="137"/>
      <c r="BH41" s="136"/>
      <c r="BI41" s="136"/>
      <c r="BJ41" s="136"/>
      <c r="BK41" s="137"/>
      <c r="BL41" s="136"/>
      <c r="BM41" s="136"/>
      <c r="BN41" s="136"/>
      <c r="BO41" s="137"/>
      <c r="BP41" s="136"/>
      <c r="BQ41" s="136"/>
      <c r="BR41" s="136"/>
      <c r="BS41" s="137"/>
      <c r="BT41" s="136"/>
      <c r="BU41" s="136"/>
      <c r="BV41" s="136"/>
      <c r="BW41" s="137"/>
      <c r="BX41" s="136"/>
      <c r="BY41" s="136"/>
      <c r="BZ41" s="136"/>
      <c r="CA41" s="137"/>
      <c r="CB41" s="136"/>
      <c r="CC41" s="136"/>
      <c r="CD41" s="136"/>
      <c r="CE41" s="137"/>
      <c r="CF41" s="136"/>
      <c r="CG41" s="136"/>
      <c r="CH41" s="136"/>
      <c r="CI41" s="137"/>
      <c r="CJ41" s="136"/>
      <c r="CK41" s="136"/>
      <c r="CL41" s="136"/>
      <c r="CM41" s="137"/>
      <c r="CN41" s="136"/>
      <c r="CO41" s="136"/>
      <c r="CP41" s="136"/>
      <c r="CQ41" s="137"/>
      <c r="CR41" s="136"/>
      <c r="CS41" s="136"/>
      <c r="CT41" s="136"/>
      <c r="CU41" s="137"/>
      <c r="CV41" s="136"/>
      <c r="CW41" s="136"/>
      <c r="CX41" s="136"/>
      <c r="CY41" s="137"/>
    </row>
    <row r="42" spans="1:103" ht="15.75" x14ac:dyDescent="0.25">
      <c r="A42" s="42"/>
      <c r="B42" s="42" t="s">
        <v>243</v>
      </c>
      <c r="C42" s="43"/>
      <c r="D42" s="44"/>
      <c r="E42" s="43"/>
      <c r="F42" s="44"/>
      <c r="G42" s="354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  <c r="AA42" s="354"/>
      <c r="AB42" s="354"/>
      <c r="AC42" s="354"/>
      <c r="AD42" s="354"/>
      <c r="AE42" s="354"/>
      <c r="AF42" s="354"/>
      <c r="AG42" s="354"/>
      <c r="AH42" s="354"/>
      <c r="AI42" s="354"/>
      <c r="AJ42" s="354"/>
      <c r="AK42" s="354"/>
      <c r="AL42" s="354"/>
      <c r="AM42" s="354"/>
      <c r="AN42" s="354"/>
      <c r="AO42" s="354"/>
      <c r="AP42" s="354"/>
      <c r="AQ42" s="354"/>
      <c r="AR42" s="354"/>
      <c r="AS42" s="354"/>
      <c r="AT42" s="354"/>
      <c r="AU42" s="354"/>
      <c r="AV42" s="354"/>
      <c r="AW42" s="354"/>
      <c r="AX42" s="354"/>
      <c r="AY42" s="354"/>
      <c r="AZ42" s="354"/>
      <c r="BA42" s="354"/>
      <c r="BB42" s="354"/>
      <c r="BC42" s="354"/>
      <c r="BD42" s="354"/>
      <c r="BE42" s="354"/>
      <c r="BF42" s="354"/>
      <c r="BG42" s="354"/>
      <c r="BH42" s="354"/>
      <c r="BI42" s="354"/>
      <c r="BJ42" s="354"/>
      <c r="BK42" s="354"/>
      <c r="BL42" s="354"/>
      <c r="BM42" s="354"/>
      <c r="BN42" s="354"/>
      <c r="BO42" s="354"/>
      <c r="BP42" s="354"/>
      <c r="BQ42" s="354"/>
      <c r="BR42" s="354"/>
      <c r="BS42" s="354"/>
      <c r="BT42" s="354"/>
      <c r="BU42" s="354"/>
      <c r="BV42" s="354"/>
      <c r="BW42" s="354"/>
      <c r="BX42" s="354"/>
      <c r="BY42" s="354"/>
      <c r="BZ42" s="354"/>
      <c r="CA42" s="354"/>
      <c r="CB42" s="354"/>
      <c r="CC42" s="354"/>
      <c r="CD42" s="354"/>
      <c r="CE42" s="354"/>
      <c r="CF42" s="354"/>
      <c r="CG42" s="354"/>
      <c r="CH42" s="354"/>
      <c r="CI42" s="354"/>
      <c r="CJ42" s="354"/>
      <c r="CK42" s="354"/>
      <c r="CL42" s="354"/>
      <c r="CM42" s="354"/>
      <c r="CN42" s="354"/>
      <c r="CO42" s="354"/>
      <c r="CP42" s="354"/>
      <c r="CQ42" s="354"/>
      <c r="CR42" s="354"/>
      <c r="CS42" s="354"/>
      <c r="CT42" s="354"/>
      <c r="CU42" s="354"/>
      <c r="CV42" s="354"/>
      <c r="CW42" s="354"/>
      <c r="CX42" s="354"/>
      <c r="CY42" s="355"/>
    </row>
    <row r="43" spans="1:103" x14ac:dyDescent="0.25">
      <c r="A43" s="85" t="s">
        <v>244</v>
      </c>
      <c r="B43" s="86" t="s">
        <v>245</v>
      </c>
      <c r="C43" s="86" t="s">
        <v>246</v>
      </c>
      <c r="D43" s="87">
        <v>0.25</v>
      </c>
      <c r="E43" s="156">
        <v>45635</v>
      </c>
      <c r="F43" s="157">
        <v>45672</v>
      </c>
      <c r="H43" s="133"/>
      <c r="I43" s="133"/>
      <c r="J43" s="133"/>
      <c r="K43" s="134"/>
      <c r="L43" s="133"/>
      <c r="M43" s="133"/>
      <c r="N43" s="133"/>
      <c r="O43" s="134"/>
      <c r="P43" s="133"/>
      <c r="Q43" s="171"/>
      <c r="R43" s="171"/>
      <c r="S43" s="155"/>
      <c r="T43" s="154"/>
      <c r="U43" s="154"/>
      <c r="V43" s="154"/>
      <c r="W43" s="134"/>
      <c r="X43" s="133"/>
      <c r="Y43" s="133"/>
      <c r="Z43" s="133"/>
      <c r="AA43" s="134"/>
      <c r="AB43" s="133"/>
      <c r="AC43" s="133"/>
      <c r="AD43" s="133"/>
      <c r="AE43" s="134"/>
      <c r="AF43" s="133"/>
      <c r="AG43" s="133"/>
      <c r="AH43" s="133"/>
      <c r="AI43" s="134"/>
      <c r="AJ43" s="133"/>
      <c r="AK43" s="133"/>
      <c r="AL43" s="133"/>
      <c r="AM43" s="134"/>
      <c r="AN43" s="133"/>
      <c r="AO43" s="133"/>
      <c r="AP43" s="133"/>
      <c r="AQ43" s="134"/>
      <c r="AR43" s="133"/>
      <c r="AS43" s="133"/>
      <c r="AT43" s="133"/>
      <c r="AU43" s="134"/>
      <c r="AV43" s="133"/>
      <c r="AW43" s="133"/>
      <c r="AX43" s="133"/>
      <c r="AY43" s="134"/>
      <c r="AZ43" s="133"/>
      <c r="BA43" s="133"/>
      <c r="BB43" s="133"/>
      <c r="BC43" s="134"/>
      <c r="BD43" s="133"/>
      <c r="BE43" s="133"/>
      <c r="BF43" s="133"/>
      <c r="BG43" s="134"/>
      <c r="BH43" s="133"/>
      <c r="BI43" s="133"/>
      <c r="BJ43" s="133"/>
      <c r="BK43" s="134"/>
      <c r="BL43" s="133"/>
      <c r="BM43" s="133"/>
      <c r="BN43" s="133"/>
      <c r="BO43" s="134"/>
      <c r="BP43" s="133"/>
      <c r="BQ43" s="133"/>
      <c r="BR43" s="133"/>
      <c r="BS43" s="134"/>
      <c r="BT43" s="133"/>
      <c r="BU43" s="133"/>
      <c r="BV43" s="133"/>
      <c r="BW43" s="134"/>
      <c r="BX43" s="133"/>
      <c r="BY43" s="133"/>
      <c r="BZ43" s="133"/>
      <c r="CA43" s="134"/>
      <c r="CB43" s="133"/>
      <c r="CC43" s="133"/>
      <c r="CD43" s="133"/>
      <c r="CE43" s="134"/>
      <c r="CF43" s="133"/>
      <c r="CG43" s="133"/>
      <c r="CH43" s="133"/>
      <c r="CI43" s="134"/>
      <c r="CJ43" s="133"/>
      <c r="CK43" s="133"/>
      <c r="CL43" s="133"/>
      <c r="CM43" s="134"/>
      <c r="CN43" s="133"/>
      <c r="CO43" s="133"/>
      <c r="CP43" s="133"/>
      <c r="CQ43" s="134"/>
      <c r="CR43" s="133"/>
      <c r="CS43" s="133"/>
      <c r="CT43" s="133"/>
      <c r="CU43" s="134"/>
      <c r="CV43" s="133"/>
      <c r="CW43" s="133"/>
      <c r="CX43" s="133"/>
      <c r="CY43" s="134"/>
    </row>
    <row r="44" spans="1:103" x14ac:dyDescent="0.25">
      <c r="A44" s="206" t="s">
        <v>247</v>
      </c>
      <c r="B44" s="86" t="s">
        <v>248</v>
      </c>
      <c r="C44" s="86"/>
      <c r="D44" s="210" t="s">
        <v>235</v>
      </c>
      <c r="E44" s="156"/>
      <c r="F44" s="157">
        <v>45673</v>
      </c>
      <c r="H44" s="133"/>
      <c r="I44" s="133"/>
      <c r="J44" s="133"/>
      <c r="K44" s="134"/>
      <c r="L44" s="133"/>
      <c r="M44" s="133"/>
      <c r="N44" s="133"/>
      <c r="O44" s="134"/>
      <c r="P44" s="133"/>
      <c r="Q44" s="133"/>
      <c r="R44" s="133"/>
      <c r="S44" s="134"/>
      <c r="T44" s="133"/>
      <c r="U44" s="133"/>
      <c r="V44" s="133" t="s">
        <v>174</v>
      </c>
      <c r="W44" s="134"/>
      <c r="X44" s="133"/>
      <c r="Y44" s="133"/>
      <c r="Z44" s="133"/>
      <c r="AA44" s="134"/>
      <c r="AB44" s="133"/>
      <c r="AC44" s="133"/>
      <c r="AD44" s="133"/>
      <c r="AE44" s="134"/>
      <c r="AF44" s="133"/>
      <c r="AG44" s="133"/>
      <c r="AH44" s="133"/>
      <c r="AI44" s="134"/>
      <c r="AJ44" s="133"/>
      <c r="AK44" s="133"/>
      <c r="AL44" s="133"/>
      <c r="AM44" s="134"/>
      <c r="AN44" s="133"/>
      <c r="AO44" s="133"/>
      <c r="AP44" s="133"/>
      <c r="AQ44" s="134"/>
      <c r="AR44" s="133"/>
      <c r="AS44" s="133"/>
      <c r="AT44" s="133"/>
      <c r="AU44" s="134"/>
      <c r="AV44" s="133"/>
      <c r="AW44" s="133"/>
      <c r="AX44" s="133"/>
      <c r="AY44" s="134"/>
      <c r="AZ44" s="133"/>
      <c r="BA44" s="133"/>
      <c r="BB44" s="133"/>
      <c r="BC44" s="134"/>
      <c r="BD44" s="133"/>
      <c r="BE44" s="133"/>
      <c r="BF44" s="133"/>
      <c r="BG44" s="134"/>
      <c r="BH44" s="133"/>
      <c r="BI44" s="133"/>
      <c r="BJ44" s="133"/>
      <c r="BK44" s="134"/>
      <c r="BL44" s="133"/>
      <c r="BM44" s="133"/>
      <c r="BN44" s="133"/>
      <c r="BO44" s="134"/>
      <c r="BP44" s="133"/>
      <c r="BQ44" s="133"/>
      <c r="BR44" s="133"/>
      <c r="BS44" s="134"/>
      <c r="BT44" s="133"/>
      <c r="BU44" s="133"/>
      <c r="BV44" s="133"/>
      <c r="BW44" s="134"/>
      <c r="BX44" s="133"/>
      <c r="BY44" s="133"/>
      <c r="BZ44" s="133"/>
      <c r="CA44" s="134"/>
      <c r="CB44" s="133"/>
      <c r="CC44" s="133"/>
      <c r="CD44" s="133"/>
      <c r="CE44" s="134"/>
      <c r="CF44" s="133"/>
      <c r="CG44" s="133"/>
      <c r="CH44" s="133"/>
      <c r="CI44" s="134"/>
      <c r="CJ44" s="133"/>
      <c r="CK44" s="133"/>
      <c r="CL44" s="133"/>
      <c r="CM44" s="134"/>
      <c r="CN44" s="133"/>
      <c r="CO44" s="133"/>
      <c r="CP44" s="133"/>
      <c r="CQ44" s="134"/>
      <c r="CR44" s="133"/>
      <c r="CS44" s="133"/>
      <c r="CT44" s="133"/>
      <c r="CU44" s="134"/>
      <c r="CV44" s="133"/>
      <c r="CW44" s="133"/>
      <c r="CX44" s="133"/>
      <c r="CY44" s="134"/>
    </row>
    <row r="45" spans="1:103" x14ac:dyDescent="0.25">
      <c r="A45" s="85" t="s">
        <v>249</v>
      </c>
      <c r="B45" s="86" t="s">
        <v>250</v>
      </c>
      <c r="C45" s="86" t="s">
        <v>246</v>
      </c>
      <c r="D45" s="87">
        <v>0</v>
      </c>
      <c r="E45" s="156">
        <v>45665</v>
      </c>
      <c r="F45" s="157">
        <v>45698</v>
      </c>
      <c r="H45" s="136"/>
      <c r="I45" s="136"/>
      <c r="J45" s="136"/>
      <c r="K45" s="137"/>
      <c r="L45" s="136"/>
      <c r="M45" s="136"/>
      <c r="N45" s="136"/>
      <c r="O45" s="137"/>
      <c r="P45" s="136"/>
      <c r="Q45" s="136"/>
      <c r="R45" s="136"/>
      <c r="S45" s="137"/>
      <c r="T45" s="136"/>
      <c r="U45" s="136"/>
      <c r="V45" s="168"/>
      <c r="W45" s="153"/>
      <c r="X45" s="168"/>
      <c r="Y45" s="168"/>
      <c r="Z45" s="136"/>
      <c r="AA45" s="137"/>
      <c r="AB45" s="136"/>
      <c r="AC45" s="136"/>
      <c r="AD45" s="136"/>
      <c r="AE45" s="137"/>
      <c r="AF45" s="136"/>
      <c r="AG45" s="136"/>
      <c r="AH45" s="136"/>
      <c r="AI45" s="137"/>
      <c r="AJ45" s="136"/>
      <c r="AK45" s="136"/>
      <c r="AL45" s="136"/>
      <c r="AM45" s="137"/>
      <c r="AN45" s="136"/>
      <c r="AO45" s="136"/>
      <c r="AP45" s="136"/>
      <c r="AQ45" s="137"/>
      <c r="AR45" s="136"/>
      <c r="AS45" s="136"/>
      <c r="AT45" s="136"/>
      <c r="AU45" s="137"/>
      <c r="AV45" s="136"/>
      <c r="AW45" s="136"/>
      <c r="AX45" s="136"/>
      <c r="AY45" s="137"/>
      <c r="AZ45" s="136"/>
      <c r="BA45" s="136"/>
      <c r="BB45" s="136"/>
      <c r="BC45" s="137"/>
      <c r="BD45" s="136"/>
      <c r="BE45" s="136"/>
      <c r="BF45" s="136"/>
      <c r="BG45" s="137"/>
      <c r="BH45" s="136"/>
      <c r="BI45" s="136"/>
      <c r="BJ45" s="136"/>
      <c r="BK45" s="137"/>
      <c r="BL45" s="136"/>
      <c r="BM45" s="136"/>
      <c r="BN45" s="136"/>
      <c r="BO45" s="137"/>
      <c r="BP45" s="136"/>
      <c r="BQ45" s="136"/>
      <c r="BR45" s="136"/>
      <c r="BS45" s="137"/>
      <c r="BT45" s="136"/>
      <c r="BU45" s="136"/>
      <c r="BV45" s="136"/>
      <c r="BW45" s="137"/>
      <c r="BX45" s="136"/>
      <c r="BY45" s="136"/>
      <c r="BZ45" s="136"/>
      <c r="CA45" s="137"/>
      <c r="CB45" s="136"/>
      <c r="CC45" s="136"/>
      <c r="CD45" s="136"/>
      <c r="CE45" s="137"/>
      <c r="CF45" s="136"/>
      <c r="CG45" s="136"/>
      <c r="CH45" s="136"/>
      <c r="CI45" s="137"/>
      <c r="CJ45" s="136"/>
      <c r="CK45" s="136"/>
      <c r="CL45" s="136"/>
      <c r="CM45" s="137"/>
      <c r="CN45" s="136"/>
      <c r="CO45" s="136"/>
      <c r="CP45" s="136"/>
      <c r="CQ45" s="137"/>
      <c r="CR45" s="136"/>
      <c r="CS45" s="136"/>
      <c r="CT45" s="136"/>
      <c r="CU45" s="137"/>
      <c r="CV45" s="136"/>
      <c r="CW45" s="136"/>
      <c r="CX45" s="136"/>
      <c r="CY45" s="137"/>
    </row>
    <row r="46" spans="1:103" x14ac:dyDescent="0.25">
      <c r="A46" s="85" t="s">
        <v>251</v>
      </c>
      <c r="B46" s="86" t="s">
        <v>252</v>
      </c>
      <c r="C46" s="86" t="s">
        <v>253</v>
      </c>
      <c r="D46" s="87">
        <v>0</v>
      </c>
      <c r="E46" s="156">
        <v>45699</v>
      </c>
      <c r="F46" s="157">
        <v>45736</v>
      </c>
      <c r="H46" s="136"/>
      <c r="I46" s="136"/>
      <c r="J46" s="136"/>
      <c r="K46" s="137"/>
      <c r="L46" s="136"/>
      <c r="M46" s="136"/>
      <c r="N46" s="136"/>
      <c r="O46" s="137"/>
      <c r="P46" s="136"/>
      <c r="Q46" s="136"/>
      <c r="R46" s="136"/>
      <c r="S46" s="137"/>
      <c r="T46" s="136"/>
      <c r="U46" s="136"/>
      <c r="V46" s="136"/>
      <c r="W46" s="137"/>
      <c r="X46" s="136"/>
      <c r="Y46" s="136"/>
      <c r="Z46" s="168"/>
      <c r="AA46" s="153"/>
      <c r="AB46" s="168"/>
      <c r="AC46" s="168"/>
      <c r="AD46" s="168"/>
      <c r="AE46" s="137"/>
      <c r="AF46" s="136"/>
      <c r="AG46" s="136"/>
      <c r="AH46" s="136"/>
      <c r="AI46" s="137"/>
      <c r="AJ46" s="136"/>
      <c r="AK46" s="136"/>
      <c r="AL46" s="136"/>
      <c r="AM46" s="137"/>
      <c r="AN46" s="136"/>
      <c r="AO46" s="136"/>
      <c r="AP46" s="136"/>
      <c r="AQ46" s="137"/>
      <c r="AR46" s="136"/>
      <c r="AS46" s="136"/>
      <c r="AT46" s="136"/>
      <c r="AU46" s="137"/>
      <c r="AV46" s="136"/>
      <c r="AW46" s="136"/>
      <c r="AX46" s="136"/>
      <c r="AY46" s="137"/>
      <c r="AZ46" s="136"/>
      <c r="BA46" s="136"/>
      <c r="BB46" s="136"/>
      <c r="BC46" s="137"/>
      <c r="BD46" s="136"/>
      <c r="BE46" s="136"/>
      <c r="BF46" s="136"/>
      <c r="BG46" s="137"/>
      <c r="BH46" s="136"/>
      <c r="BI46" s="136"/>
      <c r="BJ46" s="136"/>
      <c r="BK46" s="137"/>
      <c r="BL46" s="136"/>
      <c r="BM46" s="136"/>
      <c r="BN46" s="136"/>
      <c r="BO46" s="137"/>
      <c r="BP46" s="136"/>
      <c r="BQ46" s="136"/>
      <c r="BR46" s="136"/>
      <c r="BS46" s="137"/>
      <c r="BT46" s="136"/>
      <c r="BU46" s="136"/>
      <c r="BV46" s="136"/>
      <c r="BW46" s="137"/>
      <c r="BX46" s="136"/>
      <c r="BY46" s="136"/>
      <c r="BZ46" s="136"/>
      <c r="CA46" s="137"/>
      <c r="CB46" s="136"/>
      <c r="CC46" s="136"/>
      <c r="CD46" s="136"/>
      <c r="CE46" s="137"/>
      <c r="CF46" s="136"/>
      <c r="CG46" s="136"/>
      <c r="CH46" s="136"/>
      <c r="CI46" s="137"/>
      <c r="CJ46" s="136"/>
      <c r="CK46" s="136"/>
      <c r="CL46" s="136"/>
      <c r="CM46" s="137"/>
      <c r="CN46" s="136"/>
      <c r="CO46" s="136"/>
      <c r="CP46" s="136"/>
      <c r="CQ46" s="137"/>
      <c r="CR46" s="136"/>
      <c r="CS46" s="136"/>
      <c r="CT46" s="136"/>
      <c r="CU46" s="137"/>
      <c r="CV46" s="136"/>
      <c r="CW46" s="136"/>
      <c r="CX46" s="136"/>
      <c r="CY46" s="137"/>
    </row>
    <row r="47" spans="1:103" x14ac:dyDescent="0.25">
      <c r="A47" s="85" t="s">
        <v>254</v>
      </c>
      <c r="B47" s="86" t="s">
        <v>255</v>
      </c>
      <c r="C47" s="86" t="s">
        <v>253</v>
      </c>
      <c r="D47" s="87">
        <v>0</v>
      </c>
      <c r="E47" s="156">
        <v>45699</v>
      </c>
      <c r="F47" s="157">
        <v>45720</v>
      </c>
      <c r="H47" s="136"/>
      <c r="I47" s="136"/>
      <c r="J47" s="136"/>
      <c r="K47" s="137"/>
      <c r="L47" s="136"/>
      <c r="M47" s="136"/>
      <c r="N47" s="136"/>
      <c r="O47" s="137"/>
      <c r="P47" s="136"/>
      <c r="Q47" s="136"/>
      <c r="R47" s="136"/>
      <c r="S47" s="137"/>
      <c r="T47" s="136"/>
      <c r="U47" s="136"/>
      <c r="V47" s="136"/>
      <c r="W47" s="137"/>
      <c r="X47" s="136"/>
      <c r="Y47" s="136"/>
      <c r="Z47" s="168"/>
      <c r="AA47" s="153"/>
      <c r="AB47" s="168"/>
      <c r="AC47" s="136"/>
      <c r="AD47" s="136"/>
      <c r="AE47" s="137"/>
      <c r="AF47" s="136"/>
      <c r="AG47" s="136"/>
      <c r="AH47" s="136"/>
      <c r="AI47" s="137"/>
      <c r="AJ47" s="136"/>
      <c r="AK47" s="136"/>
      <c r="AL47" s="136"/>
      <c r="AM47" s="137"/>
      <c r="AN47" s="136"/>
      <c r="AO47" s="136"/>
      <c r="AP47" s="136"/>
      <c r="AQ47" s="137"/>
      <c r="AR47" s="136"/>
      <c r="AS47" s="136"/>
      <c r="AT47" s="136"/>
      <c r="AU47" s="137"/>
      <c r="AV47" s="136"/>
      <c r="AW47" s="136"/>
      <c r="AX47" s="136"/>
      <c r="AY47" s="137"/>
      <c r="AZ47" s="136"/>
      <c r="BA47" s="136"/>
      <c r="BB47" s="136"/>
      <c r="BC47" s="137"/>
      <c r="BD47" s="136"/>
      <c r="BE47" s="136"/>
      <c r="BF47" s="136"/>
      <c r="BG47" s="137"/>
      <c r="BH47" s="136"/>
      <c r="BI47" s="136"/>
      <c r="BJ47" s="136"/>
      <c r="BK47" s="137"/>
      <c r="BL47" s="136"/>
      <c r="BM47" s="136"/>
      <c r="BN47" s="136"/>
      <c r="BO47" s="137"/>
      <c r="BP47" s="136"/>
      <c r="BQ47" s="136"/>
      <c r="BR47" s="136"/>
      <c r="BS47" s="137"/>
      <c r="BT47" s="136"/>
      <c r="BU47" s="136"/>
      <c r="BV47" s="136"/>
      <c r="BW47" s="137"/>
      <c r="BX47" s="136"/>
      <c r="BY47" s="136"/>
      <c r="BZ47" s="136"/>
      <c r="CA47" s="137"/>
      <c r="CB47" s="136"/>
      <c r="CC47" s="136"/>
      <c r="CD47" s="136"/>
      <c r="CE47" s="137"/>
      <c r="CF47" s="136"/>
      <c r="CG47" s="136"/>
      <c r="CH47" s="136"/>
      <c r="CI47" s="137"/>
      <c r="CJ47" s="136"/>
      <c r="CK47" s="136"/>
      <c r="CL47" s="136"/>
      <c r="CM47" s="137"/>
      <c r="CN47" s="136"/>
      <c r="CO47" s="136"/>
      <c r="CP47" s="136"/>
      <c r="CQ47" s="137"/>
      <c r="CR47" s="136"/>
      <c r="CS47" s="136"/>
      <c r="CT47" s="136"/>
      <c r="CU47" s="137"/>
      <c r="CV47" s="136"/>
      <c r="CW47" s="136"/>
      <c r="CX47" s="136"/>
      <c r="CY47" s="137"/>
    </row>
    <row r="48" spans="1:103" x14ac:dyDescent="0.25">
      <c r="A48" s="206" t="s">
        <v>256</v>
      </c>
      <c r="B48" s="86" t="s">
        <v>257</v>
      </c>
      <c r="C48" s="86"/>
      <c r="D48" s="210" t="s">
        <v>242</v>
      </c>
      <c r="E48" s="156"/>
      <c r="F48" s="157">
        <v>45737</v>
      </c>
      <c r="H48" s="136"/>
      <c r="I48" s="136"/>
      <c r="J48" s="136"/>
      <c r="K48" s="137"/>
      <c r="L48" s="136"/>
      <c r="M48" s="136"/>
      <c r="N48" s="136"/>
      <c r="O48" s="137"/>
      <c r="P48" s="136"/>
      <c r="Q48" s="136"/>
      <c r="R48" s="136"/>
      <c r="S48" s="137"/>
      <c r="T48" s="136"/>
      <c r="U48" s="136"/>
      <c r="V48" s="136"/>
      <c r="W48" s="137"/>
      <c r="X48" s="136"/>
      <c r="Y48" s="136"/>
      <c r="Z48" s="136"/>
      <c r="AA48" s="137"/>
      <c r="AB48" s="136"/>
      <c r="AC48" s="136"/>
      <c r="AD48" s="204" t="s">
        <v>174</v>
      </c>
      <c r="AE48" s="137"/>
      <c r="AF48" s="136"/>
      <c r="AG48" s="136"/>
      <c r="AH48" s="136"/>
      <c r="AI48" s="137"/>
      <c r="AJ48" s="136"/>
      <c r="AK48" s="136"/>
      <c r="AL48" s="136"/>
      <c r="AM48" s="137"/>
      <c r="AN48" s="136"/>
      <c r="AO48" s="136"/>
      <c r="AP48" s="136"/>
      <c r="AQ48" s="137"/>
      <c r="AR48" s="136"/>
      <c r="AS48" s="136"/>
      <c r="AT48" s="136"/>
      <c r="AU48" s="137"/>
      <c r="AV48" s="136"/>
      <c r="AW48" s="136"/>
      <c r="AX48" s="136"/>
      <c r="AY48" s="137"/>
      <c r="AZ48" s="136"/>
      <c r="BA48" s="136"/>
      <c r="BB48" s="136"/>
      <c r="BC48" s="137"/>
      <c r="BD48" s="136"/>
      <c r="BE48" s="136"/>
      <c r="BF48" s="136"/>
      <c r="BG48" s="137"/>
      <c r="BH48" s="136"/>
      <c r="BI48" s="136"/>
      <c r="BJ48" s="136"/>
      <c r="BK48" s="137"/>
      <c r="BL48" s="136"/>
      <c r="BM48" s="136"/>
      <c r="BN48" s="136"/>
      <c r="BO48" s="137"/>
      <c r="BP48" s="136"/>
      <c r="BQ48" s="136"/>
      <c r="BR48" s="136"/>
      <c r="BS48" s="137"/>
      <c r="BT48" s="136"/>
      <c r="BU48" s="136"/>
      <c r="BV48" s="136"/>
      <c r="BW48" s="137"/>
      <c r="BX48" s="136"/>
      <c r="BY48" s="136"/>
      <c r="BZ48" s="136"/>
      <c r="CA48" s="137"/>
      <c r="CB48" s="136"/>
      <c r="CC48" s="136"/>
      <c r="CD48" s="136"/>
      <c r="CE48" s="137"/>
      <c r="CF48" s="136"/>
      <c r="CG48" s="136"/>
      <c r="CH48" s="136"/>
      <c r="CI48" s="137"/>
      <c r="CJ48" s="136"/>
      <c r="CK48" s="136"/>
      <c r="CL48" s="136"/>
      <c r="CM48" s="137"/>
      <c r="CN48" s="136"/>
      <c r="CO48" s="136"/>
      <c r="CP48" s="136"/>
      <c r="CQ48" s="137"/>
      <c r="CR48" s="136"/>
      <c r="CS48" s="136"/>
      <c r="CT48" s="136"/>
      <c r="CU48" s="137"/>
      <c r="CV48" s="136"/>
      <c r="CW48" s="136"/>
      <c r="CX48" s="136"/>
      <c r="CY48" s="137"/>
    </row>
    <row r="49" spans="1:103" x14ac:dyDescent="0.25">
      <c r="A49" s="85" t="s">
        <v>258</v>
      </c>
      <c r="B49" s="86" t="s">
        <v>259</v>
      </c>
      <c r="C49" s="86" t="s">
        <v>260</v>
      </c>
      <c r="D49" s="87">
        <v>0</v>
      </c>
      <c r="E49" s="156">
        <v>45733</v>
      </c>
      <c r="F49" s="157">
        <v>45740</v>
      </c>
      <c r="H49" s="136"/>
      <c r="I49" s="136"/>
      <c r="J49" s="136"/>
      <c r="K49" s="137"/>
      <c r="L49" s="136"/>
      <c r="M49" s="136"/>
      <c r="N49" s="136"/>
      <c r="O49" s="137"/>
      <c r="P49" s="136"/>
      <c r="Q49" s="136"/>
      <c r="R49" s="136"/>
      <c r="S49" s="137"/>
      <c r="T49" s="136"/>
      <c r="U49" s="136"/>
      <c r="V49" s="136"/>
      <c r="W49" s="137"/>
      <c r="X49" s="136"/>
      <c r="Y49" s="136"/>
      <c r="Z49" s="136"/>
      <c r="AA49" s="137"/>
      <c r="AB49" s="136"/>
      <c r="AC49" s="136"/>
      <c r="AD49" s="168"/>
      <c r="AE49" s="153"/>
      <c r="AF49" s="136"/>
      <c r="AG49" s="136"/>
      <c r="AH49" s="136"/>
      <c r="AI49" s="137"/>
      <c r="AJ49" s="136"/>
      <c r="AK49" s="136"/>
      <c r="AL49" s="136"/>
      <c r="AM49" s="137"/>
      <c r="AN49" s="136"/>
      <c r="AO49" s="136"/>
      <c r="AP49" s="136"/>
      <c r="AQ49" s="137"/>
      <c r="AR49" s="136"/>
      <c r="AS49" s="136"/>
      <c r="AT49" s="136"/>
      <c r="AU49" s="137"/>
      <c r="AV49" s="136"/>
      <c r="AW49" s="136"/>
      <c r="AX49" s="136"/>
      <c r="AY49" s="137"/>
      <c r="AZ49" s="136"/>
      <c r="BA49" s="136"/>
      <c r="BB49" s="136"/>
      <c r="BC49" s="137"/>
      <c r="BD49" s="136"/>
      <c r="BE49" s="136"/>
      <c r="BF49" s="136"/>
      <c r="BG49" s="137"/>
      <c r="BH49" s="136"/>
      <c r="BI49" s="136"/>
      <c r="BJ49" s="136"/>
      <c r="BK49" s="137"/>
      <c r="BL49" s="136"/>
      <c r="BM49" s="136"/>
      <c r="BN49" s="136"/>
      <c r="BO49" s="137"/>
      <c r="BP49" s="136"/>
      <c r="BQ49" s="136"/>
      <c r="BR49" s="136"/>
      <c r="BS49" s="137"/>
      <c r="BT49" s="136"/>
      <c r="BU49" s="136"/>
      <c r="BV49" s="136"/>
      <c r="BW49" s="137"/>
      <c r="BX49" s="136"/>
      <c r="BY49" s="136"/>
      <c r="BZ49" s="136"/>
      <c r="CA49" s="137"/>
      <c r="CB49" s="136"/>
      <c r="CC49" s="136"/>
      <c r="CD49" s="136"/>
      <c r="CE49" s="137"/>
      <c r="CF49" s="136"/>
      <c r="CG49" s="136"/>
      <c r="CH49" s="136"/>
      <c r="CI49" s="137"/>
      <c r="CJ49" s="136"/>
      <c r="CK49" s="136"/>
      <c r="CL49" s="136"/>
      <c r="CM49" s="137"/>
      <c r="CN49" s="136"/>
      <c r="CO49" s="136"/>
      <c r="CP49" s="136"/>
      <c r="CQ49" s="137"/>
      <c r="CR49" s="136"/>
      <c r="CS49" s="136"/>
      <c r="CT49" s="136"/>
      <c r="CU49" s="137"/>
      <c r="CV49" s="136"/>
      <c r="CW49" s="136"/>
      <c r="CX49" s="136"/>
      <c r="CY49" s="137"/>
    </row>
    <row r="50" spans="1:103" x14ac:dyDescent="0.25">
      <c r="A50" s="82" t="s">
        <v>261</v>
      </c>
      <c r="B50" s="83" t="s">
        <v>262</v>
      </c>
      <c r="C50" s="83" t="s">
        <v>253</v>
      </c>
      <c r="D50" s="84">
        <v>0</v>
      </c>
      <c r="E50" s="158">
        <v>45733</v>
      </c>
      <c r="F50" s="159">
        <v>45740</v>
      </c>
      <c r="G50" s="22"/>
      <c r="H50" s="138"/>
      <c r="I50" s="138"/>
      <c r="J50" s="138"/>
      <c r="K50" s="143"/>
      <c r="L50" s="138"/>
      <c r="M50" s="138"/>
      <c r="N50" s="138"/>
      <c r="O50" s="143"/>
      <c r="P50" s="138"/>
      <c r="Q50" s="138"/>
      <c r="R50" s="138"/>
      <c r="S50" s="143"/>
      <c r="T50" s="138"/>
      <c r="U50" s="138"/>
      <c r="V50" s="138"/>
      <c r="W50" s="143"/>
      <c r="X50" s="138"/>
      <c r="Y50" s="138"/>
      <c r="Z50" s="138"/>
      <c r="AA50" s="143"/>
      <c r="AB50" s="138"/>
      <c r="AC50" s="138"/>
      <c r="AD50" s="172"/>
      <c r="AE50" s="170"/>
      <c r="AF50" s="138"/>
      <c r="AG50" s="138"/>
      <c r="AH50" s="138"/>
      <c r="AI50" s="143"/>
      <c r="AJ50" s="138"/>
      <c r="AK50" s="138"/>
      <c r="AL50" s="138"/>
      <c r="AM50" s="143"/>
      <c r="AN50" s="138"/>
      <c r="AO50" s="138"/>
      <c r="AP50" s="138"/>
      <c r="AQ50" s="143"/>
      <c r="AR50" s="138"/>
      <c r="AS50" s="138"/>
      <c r="AT50" s="138"/>
      <c r="AU50" s="143"/>
      <c r="AV50" s="138"/>
      <c r="AW50" s="138"/>
      <c r="AX50" s="138"/>
      <c r="AY50" s="143"/>
      <c r="AZ50" s="138"/>
      <c r="BA50" s="138"/>
      <c r="BB50" s="138"/>
      <c r="BC50" s="143"/>
      <c r="BD50" s="138"/>
      <c r="BE50" s="138"/>
      <c r="BF50" s="138"/>
      <c r="BG50" s="143"/>
      <c r="BH50" s="138"/>
      <c r="BI50" s="138"/>
      <c r="BJ50" s="138"/>
      <c r="BK50" s="143"/>
      <c r="BL50" s="138"/>
      <c r="BM50" s="138"/>
      <c r="BN50" s="138"/>
      <c r="BO50" s="143"/>
      <c r="BP50" s="138"/>
      <c r="BQ50" s="138"/>
      <c r="BR50" s="138"/>
      <c r="BS50" s="143"/>
      <c r="BT50" s="138"/>
      <c r="BU50" s="138"/>
      <c r="BV50" s="138"/>
      <c r="BW50" s="143"/>
      <c r="BX50" s="138"/>
      <c r="BY50" s="138"/>
      <c r="BZ50" s="138"/>
      <c r="CA50" s="143"/>
      <c r="CB50" s="138"/>
      <c r="CC50" s="138"/>
      <c r="CD50" s="138"/>
      <c r="CE50" s="143"/>
      <c r="CF50" s="138"/>
      <c r="CG50" s="138"/>
      <c r="CH50" s="138"/>
      <c r="CI50" s="143"/>
      <c r="CJ50" s="138"/>
      <c r="CK50" s="138"/>
      <c r="CL50" s="138"/>
      <c r="CM50" s="143"/>
      <c r="CN50" s="138"/>
      <c r="CO50" s="138"/>
      <c r="CP50" s="138"/>
      <c r="CQ50" s="143"/>
      <c r="CR50" s="138"/>
      <c r="CS50" s="138"/>
      <c r="CT50" s="138"/>
      <c r="CU50" s="143"/>
      <c r="CV50" s="138"/>
      <c r="CW50" s="138"/>
      <c r="CX50" s="138"/>
      <c r="CY50" s="143"/>
    </row>
    <row r="51" spans="1:103" x14ac:dyDescent="0.25">
      <c r="A51" s="206" t="s">
        <v>263</v>
      </c>
      <c r="B51" s="86" t="s">
        <v>264</v>
      </c>
      <c r="C51" s="86"/>
      <c r="D51" s="210" t="s">
        <v>242</v>
      </c>
      <c r="E51" s="156"/>
      <c r="F51" s="157">
        <v>45741</v>
      </c>
      <c r="H51" s="136"/>
      <c r="I51" s="136"/>
      <c r="J51" s="136"/>
      <c r="K51" s="137"/>
      <c r="L51" s="136"/>
      <c r="M51" s="136"/>
      <c r="N51" s="136"/>
      <c r="O51" s="137"/>
      <c r="P51" s="136"/>
      <c r="Q51" s="136"/>
      <c r="R51" s="136"/>
      <c r="S51" s="137"/>
      <c r="T51" s="136"/>
      <c r="U51" s="136"/>
      <c r="V51" s="136"/>
      <c r="W51" s="137"/>
      <c r="X51" s="136"/>
      <c r="Y51" s="136"/>
      <c r="Z51" s="136"/>
      <c r="AA51" s="137"/>
      <c r="AB51" s="136"/>
      <c r="AC51" s="136"/>
      <c r="AD51" s="136"/>
      <c r="AE51" s="137" t="s">
        <v>174</v>
      </c>
      <c r="AF51" s="136"/>
      <c r="AG51" s="136"/>
      <c r="AH51" s="136"/>
      <c r="AI51" s="137"/>
      <c r="AJ51" s="136"/>
      <c r="AK51" s="136"/>
      <c r="AL51" s="136"/>
      <c r="AM51" s="137"/>
      <c r="AN51" s="136"/>
      <c r="AO51" s="136"/>
      <c r="AP51" s="136"/>
      <c r="AQ51" s="137"/>
      <c r="AR51" s="136"/>
      <c r="AS51" s="136"/>
      <c r="AT51" s="136"/>
      <c r="AU51" s="137"/>
      <c r="AV51" s="136"/>
      <c r="AW51" s="136"/>
      <c r="AX51" s="136"/>
      <c r="AY51" s="137"/>
      <c r="AZ51" s="136"/>
      <c r="BA51" s="136"/>
      <c r="BB51" s="136"/>
      <c r="BC51" s="137"/>
      <c r="BD51" s="136"/>
      <c r="BE51" s="136"/>
      <c r="BF51" s="136"/>
      <c r="BG51" s="137"/>
      <c r="BH51" s="136"/>
      <c r="BI51" s="136"/>
      <c r="BJ51" s="136"/>
      <c r="BK51" s="137"/>
      <c r="BL51" s="136"/>
      <c r="BM51" s="136"/>
      <c r="BN51" s="136"/>
      <c r="BO51" s="137"/>
      <c r="BP51" s="136"/>
      <c r="BQ51" s="136"/>
      <c r="BR51" s="136"/>
      <c r="BS51" s="137"/>
      <c r="BT51" s="136"/>
      <c r="BU51" s="136"/>
      <c r="BV51" s="136"/>
      <c r="BW51" s="137"/>
      <c r="BX51" s="136"/>
      <c r="BY51" s="136"/>
      <c r="BZ51" s="136"/>
      <c r="CA51" s="137"/>
      <c r="CB51" s="136"/>
      <c r="CC51" s="136"/>
      <c r="CD51" s="136"/>
      <c r="CE51" s="137"/>
      <c r="CF51" s="136"/>
      <c r="CG51" s="136"/>
      <c r="CH51" s="136"/>
      <c r="CI51" s="137"/>
      <c r="CJ51" s="136"/>
      <c r="CK51" s="136"/>
      <c r="CL51" s="136"/>
      <c r="CM51" s="137"/>
      <c r="CN51" s="136"/>
      <c r="CO51" s="136"/>
      <c r="CP51" s="136"/>
      <c r="CQ51" s="137"/>
      <c r="CR51" s="136"/>
      <c r="CS51" s="136"/>
      <c r="CT51" s="136"/>
      <c r="CU51" s="137"/>
      <c r="CV51" s="136"/>
      <c r="CW51" s="136"/>
      <c r="CX51" s="136"/>
      <c r="CY51" s="137"/>
    </row>
    <row r="52" spans="1:103" ht="15.75" x14ac:dyDescent="0.25">
      <c r="A52" s="94"/>
      <c r="B52" s="95" t="s">
        <v>265</v>
      </c>
      <c r="C52" s="94"/>
      <c r="D52" s="94"/>
      <c r="E52" s="94"/>
      <c r="F52" s="9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  <c r="AA52" s="354"/>
      <c r="AB52" s="354"/>
      <c r="AC52" s="354"/>
      <c r="AD52" s="354"/>
      <c r="AE52" s="354"/>
      <c r="AF52" s="354"/>
      <c r="AG52" s="354"/>
      <c r="AH52" s="354"/>
      <c r="AI52" s="354"/>
      <c r="AJ52" s="354"/>
      <c r="AK52" s="354"/>
      <c r="AL52" s="354"/>
      <c r="AM52" s="354"/>
      <c r="AN52" s="354"/>
      <c r="AO52" s="354"/>
      <c r="AP52" s="354"/>
      <c r="AQ52" s="354"/>
      <c r="AR52" s="354"/>
      <c r="AS52" s="354"/>
      <c r="AT52" s="354"/>
      <c r="AU52" s="354"/>
      <c r="AV52" s="354"/>
      <c r="AW52" s="354"/>
      <c r="AX52" s="354"/>
      <c r="AY52" s="354"/>
      <c r="AZ52" s="354"/>
      <c r="BA52" s="354"/>
      <c r="BB52" s="354"/>
      <c r="BC52" s="354"/>
      <c r="BD52" s="354"/>
      <c r="BE52" s="354"/>
      <c r="BF52" s="354"/>
      <c r="BG52" s="354"/>
      <c r="BH52" s="354"/>
      <c r="BI52" s="354"/>
      <c r="BJ52" s="354"/>
      <c r="BK52" s="354"/>
      <c r="BL52" s="354"/>
      <c r="BM52" s="354"/>
      <c r="BN52" s="354"/>
      <c r="BO52" s="354"/>
      <c r="BP52" s="354"/>
      <c r="BQ52" s="354"/>
      <c r="BR52" s="354"/>
      <c r="BS52" s="354"/>
      <c r="BT52" s="354"/>
      <c r="BU52" s="354"/>
      <c r="BV52" s="354"/>
      <c r="BW52" s="354"/>
      <c r="BX52" s="354"/>
      <c r="BY52" s="354"/>
      <c r="BZ52" s="354"/>
      <c r="CA52" s="354"/>
      <c r="CB52" s="354"/>
      <c r="CC52" s="354"/>
      <c r="CD52" s="354"/>
      <c r="CE52" s="354"/>
      <c r="CF52" s="354"/>
      <c r="CG52" s="354"/>
      <c r="CH52" s="354"/>
      <c r="CI52" s="354"/>
      <c r="CJ52" s="354"/>
      <c r="CK52" s="354"/>
      <c r="CL52" s="354"/>
      <c r="CM52" s="354"/>
      <c r="CN52" s="354"/>
      <c r="CO52" s="354"/>
      <c r="CP52" s="354"/>
      <c r="CQ52" s="354"/>
      <c r="CR52" s="354"/>
      <c r="CS52" s="354"/>
      <c r="CT52" s="354"/>
      <c r="CU52" s="354"/>
      <c r="CV52" s="354"/>
      <c r="CW52" s="354"/>
      <c r="CX52" s="354"/>
      <c r="CY52" s="355"/>
    </row>
    <row r="53" spans="1:103" x14ac:dyDescent="0.25">
      <c r="A53" s="100" t="s">
        <v>266</v>
      </c>
      <c r="B53" s="101" t="s">
        <v>267</v>
      </c>
      <c r="C53" s="101" t="s">
        <v>268</v>
      </c>
      <c r="D53" s="120">
        <v>0</v>
      </c>
      <c r="E53" s="160">
        <v>45740</v>
      </c>
      <c r="F53" s="161">
        <v>45756</v>
      </c>
      <c r="H53" s="133"/>
      <c r="I53" s="133"/>
      <c r="J53" s="133"/>
      <c r="K53" s="134"/>
      <c r="L53" s="133"/>
      <c r="M53" s="133"/>
      <c r="N53" s="133"/>
      <c r="O53" s="134"/>
      <c r="P53" s="133"/>
      <c r="Q53" s="133"/>
      <c r="R53" s="133"/>
      <c r="S53" s="134"/>
      <c r="T53" s="133"/>
      <c r="U53" s="133"/>
      <c r="V53" s="133"/>
      <c r="W53" s="134"/>
      <c r="X53" s="133"/>
      <c r="Y53" s="133"/>
      <c r="Z53" s="133"/>
      <c r="AA53" s="134"/>
      <c r="AB53" s="133"/>
      <c r="AC53" s="133"/>
      <c r="AD53" s="133"/>
      <c r="AE53" s="155"/>
      <c r="AF53" s="154"/>
      <c r="AG53" s="154"/>
      <c r="AH53" s="133"/>
      <c r="AI53" s="134"/>
      <c r="AJ53" s="133"/>
      <c r="AK53" s="133"/>
      <c r="AL53" s="133"/>
      <c r="AM53" s="134"/>
      <c r="AN53" s="133"/>
      <c r="AO53" s="133"/>
      <c r="AP53" s="133"/>
      <c r="AQ53" s="134"/>
      <c r="AR53" s="133"/>
      <c r="AS53" s="133"/>
      <c r="AT53" s="133"/>
      <c r="AU53" s="134"/>
      <c r="AV53" s="133"/>
      <c r="AW53" s="133"/>
      <c r="AX53" s="133"/>
      <c r="AY53" s="134"/>
      <c r="AZ53" s="133"/>
      <c r="BA53" s="133"/>
      <c r="BB53" s="133"/>
      <c r="BC53" s="134"/>
      <c r="BD53" s="133"/>
      <c r="BE53" s="133"/>
      <c r="BF53" s="133"/>
      <c r="BG53" s="134"/>
      <c r="BH53" s="133"/>
      <c r="BI53" s="133"/>
      <c r="BJ53" s="133"/>
      <c r="BK53" s="134"/>
      <c r="BL53" s="133"/>
      <c r="BM53" s="133"/>
      <c r="BN53" s="133"/>
      <c r="BO53" s="134"/>
      <c r="BP53" s="133"/>
      <c r="BQ53" s="133"/>
      <c r="BR53" s="133"/>
      <c r="BS53" s="134"/>
      <c r="BT53" s="133"/>
      <c r="BU53" s="133"/>
      <c r="BV53" s="133"/>
      <c r="BW53" s="134"/>
      <c r="BX53" s="133"/>
      <c r="BY53" s="133"/>
      <c r="BZ53" s="133"/>
      <c r="CA53" s="134"/>
      <c r="CB53" s="133"/>
      <c r="CC53" s="133"/>
      <c r="CD53" s="133"/>
      <c r="CE53" s="134"/>
      <c r="CF53" s="133"/>
      <c r="CG53" s="133"/>
      <c r="CH53" s="133"/>
      <c r="CI53" s="134"/>
      <c r="CJ53" s="133"/>
      <c r="CK53" s="133"/>
      <c r="CL53" s="133"/>
      <c r="CM53" s="134"/>
      <c r="CN53" s="133"/>
      <c r="CO53" s="133"/>
      <c r="CP53" s="133"/>
      <c r="CQ53" s="134"/>
      <c r="CR53" s="133"/>
      <c r="CS53" s="133"/>
      <c r="CT53" s="133"/>
      <c r="CU53" s="134"/>
      <c r="CV53" s="133"/>
      <c r="CW53" s="133"/>
      <c r="CX53" s="133"/>
      <c r="CY53" s="134"/>
    </row>
    <row r="54" spans="1:103" x14ac:dyDescent="0.25">
      <c r="A54" s="100" t="s">
        <v>269</v>
      </c>
      <c r="B54" s="101" t="s">
        <v>270</v>
      </c>
      <c r="C54" s="101" t="s">
        <v>271</v>
      </c>
      <c r="D54" s="120">
        <v>0</v>
      </c>
      <c r="E54" s="160">
        <v>45699</v>
      </c>
      <c r="F54" s="161">
        <v>45709</v>
      </c>
      <c r="H54" s="136"/>
      <c r="I54" s="136"/>
      <c r="J54" s="136"/>
      <c r="K54" s="137"/>
      <c r="L54" s="136"/>
      <c r="M54" s="136"/>
      <c r="N54" s="136"/>
      <c r="O54" s="137"/>
      <c r="P54" s="136"/>
      <c r="Q54" s="136"/>
      <c r="R54" s="136"/>
      <c r="S54" s="137"/>
      <c r="T54" s="136"/>
      <c r="U54" s="136"/>
      <c r="V54" s="136"/>
      <c r="W54" s="137"/>
      <c r="X54" s="136"/>
      <c r="Y54" s="136"/>
      <c r="Z54" s="168"/>
      <c r="AA54" s="153"/>
      <c r="AB54" s="136"/>
      <c r="AC54" s="136"/>
      <c r="AD54" s="136"/>
      <c r="AE54" s="137"/>
      <c r="AF54" s="136"/>
      <c r="AG54" s="136"/>
      <c r="AH54" s="136"/>
      <c r="AI54" s="137"/>
      <c r="AJ54" s="136"/>
      <c r="AK54" s="136"/>
      <c r="AL54" s="136"/>
      <c r="AM54" s="137"/>
      <c r="AN54" s="136"/>
      <c r="AO54" s="136"/>
      <c r="AP54" s="136"/>
      <c r="AQ54" s="137"/>
      <c r="AR54" s="136"/>
      <c r="AS54" s="136"/>
      <c r="AT54" s="136"/>
      <c r="AU54" s="137"/>
      <c r="AV54" s="136"/>
      <c r="AW54" s="136"/>
      <c r="AX54" s="136"/>
      <c r="AY54" s="137"/>
      <c r="AZ54" s="136"/>
      <c r="BA54" s="136"/>
      <c r="BB54" s="136"/>
      <c r="BC54" s="137"/>
      <c r="BD54" s="136"/>
      <c r="BE54" s="136"/>
      <c r="BF54" s="136"/>
      <c r="BG54" s="137"/>
      <c r="BH54" s="136"/>
      <c r="BI54" s="136"/>
      <c r="BJ54" s="136"/>
      <c r="BK54" s="137"/>
      <c r="BL54" s="136"/>
      <c r="BM54" s="136"/>
      <c r="BN54" s="136"/>
      <c r="BO54" s="137"/>
      <c r="BP54" s="136"/>
      <c r="BQ54" s="136"/>
      <c r="BR54" s="136"/>
      <c r="BS54" s="137"/>
      <c r="BT54" s="136"/>
      <c r="BU54" s="136"/>
      <c r="BV54" s="136"/>
      <c r="BW54" s="137"/>
      <c r="BX54" s="136"/>
      <c r="BY54" s="136"/>
      <c r="BZ54" s="136"/>
      <c r="CA54" s="137"/>
      <c r="CB54" s="136"/>
      <c r="CC54" s="136"/>
      <c r="CD54" s="136"/>
      <c r="CE54" s="137"/>
      <c r="CF54" s="136"/>
      <c r="CG54" s="136"/>
      <c r="CH54" s="136"/>
      <c r="CI54" s="137"/>
      <c r="CJ54" s="136"/>
      <c r="CK54" s="136"/>
      <c r="CL54" s="136"/>
      <c r="CM54" s="137"/>
      <c r="CN54" s="136"/>
      <c r="CO54" s="136"/>
      <c r="CP54" s="136"/>
      <c r="CQ54" s="137"/>
      <c r="CR54" s="136"/>
      <c r="CS54" s="136"/>
      <c r="CT54" s="136"/>
      <c r="CU54" s="137"/>
      <c r="CV54" s="136"/>
      <c r="CW54" s="136"/>
      <c r="CX54" s="136"/>
      <c r="CY54" s="137"/>
    </row>
    <row r="55" spans="1:103" x14ac:dyDescent="0.25">
      <c r="A55" s="211" t="s">
        <v>272</v>
      </c>
      <c r="B55" s="101" t="s">
        <v>273</v>
      </c>
      <c r="C55" s="101"/>
      <c r="D55" s="212" t="s">
        <v>242</v>
      </c>
      <c r="E55" s="160"/>
      <c r="F55" s="161">
        <v>45757</v>
      </c>
      <c r="H55" s="136"/>
      <c r="I55" s="136"/>
      <c r="J55" s="136"/>
      <c r="K55" s="137"/>
      <c r="L55" s="136"/>
      <c r="M55" s="136"/>
      <c r="N55" s="136"/>
      <c r="O55" s="137"/>
      <c r="P55" s="136"/>
      <c r="Q55" s="136"/>
      <c r="R55" s="136"/>
      <c r="S55" s="137"/>
      <c r="T55" s="136"/>
      <c r="U55" s="136"/>
      <c r="V55" s="136"/>
      <c r="W55" s="137"/>
      <c r="X55" s="136"/>
      <c r="Y55" s="136"/>
      <c r="Z55" s="136"/>
      <c r="AA55" s="137"/>
      <c r="AB55" s="136"/>
      <c r="AC55" s="136"/>
      <c r="AD55" s="136"/>
      <c r="AE55" s="137"/>
      <c r="AF55" s="136"/>
      <c r="AG55" s="136" t="s">
        <v>174</v>
      </c>
      <c r="AH55" s="136"/>
      <c r="AI55" s="137"/>
      <c r="AJ55" s="136"/>
      <c r="AK55" s="136"/>
      <c r="AL55" s="136"/>
      <c r="AM55" s="137"/>
      <c r="AN55" s="136"/>
      <c r="AO55" s="136"/>
      <c r="AP55" s="136"/>
      <c r="AQ55" s="137"/>
      <c r="AR55" s="136"/>
      <c r="AS55" s="136"/>
      <c r="AT55" s="136"/>
      <c r="AU55" s="137"/>
      <c r="AV55" s="136"/>
      <c r="AW55" s="136"/>
      <c r="AX55" s="136"/>
      <c r="AY55" s="137"/>
      <c r="AZ55" s="136"/>
      <c r="BA55" s="136"/>
      <c r="BB55" s="136"/>
      <c r="BC55" s="137"/>
      <c r="BD55" s="136"/>
      <c r="BE55" s="136"/>
      <c r="BF55" s="136"/>
      <c r="BG55" s="137"/>
      <c r="BH55" s="136"/>
      <c r="BI55" s="136"/>
      <c r="BJ55" s="136"/>
      <c r="BK55" s="137"/>
      <c r="BL55" s="136"/>
      <c r="BM55" s="136"/>
      <c r="BN55" s="136"/>
      <c r="BO55" s="137"/>
      <c r="BP55" s="136"/>
      <c r="BQ55" s="136"/>
      <c r="BR55" s="136"/>
      <c r="BS55" s="137"/>
      <c r="BT55" s="136"/>
      <c r="BU55" s="136"/>
      <c r="BV55" s="136"/>
      <c r="BW55" s="137"/>
      <c r="BX55" s="136"/>
      <c r="BY55" s="136"/>
      <c r="BZ55" s="136"/>
      <c r="CA55" s="137"/>
      <c r="CB55" s="136"/>
      <c r="CC55" s="136"/>
      <c r="CD55" s="136"/>
      <c r="CE55" s="137"/>
      <c r="CF55" s="136"/>
      <c r="CG55" s="136"/>
      <c r="CH55" s="136"/>
      <c r="CI55" s="137"/>
      <c r="CJ55" s="136"/>
      <c r="CK55" s="136"/>
      <c r="CL55" s="136"/>
      <c r="CM55" s="137"/>
      <c r="CN55" s="136"/>
      <c r="CO55" s="136"/>
      <c r="CP55" s="136"/>
      <c r="CQ55" s="137"/>
      <c r="CR55" s="136"/>
      <c r="CS55" s="136"/>
      <c r="CT55" s="136"/>
      <c r="CU55" s="137"/>
      <c r="CV55" s="136"/>
      <c r="CW55" s="136"/>
      <c r="CX55" s="136"/>
      <c r="CY55" s="137"/>
    </row>
    <row r="56" spans="1:103" x14ac:dyDescent="0.25">
      <c r="A56" s="98" t="s">
        <v>274</v>
      </c>
      <c r="B56" s="99" t="s">
        <v>275</v>
      </c>
      <c r="C56" s="99" t="s">
        <v>271</v>
      </c>
      <c r="D56" s="121">
        <v>0</v>
      </c>
      <c r="E56" s="162">
        <v>45740</v>
      </c>
      <c r="F56" s="163">
        <v>45763</v>
      </c>
      <c r="H56" s="136"/>
      <c r="I56" s="136"/>
      <c r="J56" s="136"/>
      <c r="K56" s="137"/>
      <c r="L56" s="136"/>
      <c r="M56" s="136"/>
      <c r="N56" s="136"/>
      <c r="O56" s="137"/>
      <c r="P56" s="136"/>
      <c r="Q56" s="136"/>
      <c r="R56" s="136"/>
      <c r="S56" s="137"/>
      <c r="T56" s="136"/>
      <c r="U56" s="136"/>
      <c r="V56" s="136"/>
      <c r="W56" s="137"/>
      <c r="X56" s="136"/>
      <c r="Y56" s="136"/>
      <c r="Z56" s="136"/>
      <c r="AA56" s="137"/>
      <c r="AB56" s="136"/>
      <c r="AC56" s="136"/>
      <c r="AD56" s="136"/>
      <c r="AE56" s="153"/>
      <c r="AF56" s="168"/>
      <c r="AG56" s="168"/>
      <c r="AH56" s="168"/>
      <c r="AI56" s="137"/>
      <c r="AJ56" s="136"/>
      <c r="AK56" s="136"/>
      <c r="AL56" s="136"/>
      <c r="AM56" s="137"/>
      <c r="AN56" s="136"/>
      <c r="AO56" s="136"/>
      <c r="AP56" s="136"/>
      <c r="AQ56" s="137"/>
      <c r="AR56" s="136"/>
      <c r="AS56" s="136"/>
      <c r="AT56" s="136"/>
      <c r="AU56" s="137"/>
      <c r="AV56" s="136"/>
      <c r="AW56" s="136"/>
      <c r="AX56" s="136"/>
      <c r="AY56" s="137"/>
      <c r="AZ56" s="136"/>
      <c r="BA56" s="136"/>
      <c r="BB56" s="136"/>
      <c r="BC56" s="137"/>
      <c r="BD56" s="136"/>
      <c r="BE56" s="136"/>
      <c r="BF56" s="136"/>
      <c r="BG56" s="137"/>
      <c r="BH56" s="136"/>
      <c r="BI56" s="136"/>
      <c r="BJ56" s="136"/>
      <c r="BK56" s="137"/>
      <c r="BL56" s="136"/>
      <c r="BM56" s="136"/>
      <c r="BN56" s="136"/>
      <c r="BO56" s="137"/>
      <c r="BP56" s="136"/>
      <c r="BQ56" s="136"/>
      <c r="BR56" s="136"/>
      <c r="BS56" s="137"/>
      <c r="BT56" s="136"/>
      <c r="BU56" s="136"/>
      <c r="BV56" s="136"/>
      <c r="BW56" s="137"/>
      <c r="BX56" s="136"/>
      <c r="BY56" s="136"/>
      <c r="BZ56" s="136"/>
      <c r="CA56" s="137"/>
      <c r="CB56" s="136"/>
      <c r="CC56" s="136"/>
      <c r="CD56" s="136"/>
      <c r="CE56" s="137"/>
      <c r="CF56" s="136"/>
      <c r="CG56" s="136"/>
      <c r="CH56" s="136"/>
      <c r="CI56" s="137"/>
      <c r="CJ56" s="136"/>
      <c r="CK56" s="136"/>
      <c r="CL56" s="136"/>
      <c r="CM56" s="137"/>
      <c r="CN56" s="136"/>
      <c r="CO56" s="136"/>
      <c r="CP56" s="136"/>
      <c r="CQ56" s="137"/>
      <c r="CR56" s="136"/>
      <c r="CS56" s="136"/>
      <c r="CT56" s="136"/>
      <c r="CU56" s="137"/>
      <c r="CV56" s="136"/>
      <c r="CW56" s="136"/>
      <c r="CX56" s="136"/>
      <c r="CY56" s="137"/>
    </row>
    <row r="57" spans="1:103" x14ac:dyDescent="0.25">
      <c r="A57" s="211" t="s">
        <v>276</v>
      </c>
      <c r="B57" s="101" t="s">
        <v>277</v>
      </c>
      <c r="C57" s="101"/>
      <c r="D57" s="212" t="s">
        <v>242</v>
      </c>
      <c r="E57" s="160"/>
      <c r="F57" s="161">
        <v>45764</v>
      </c>
      <c r="H57" s="136"/>
      <c r="I57" s="136"/>
      <c r="J57" s="136"/>
      <c r="K57" s="137"/>
      <c r="L57" s="136"/>
      <c r="M57" s="136"/>
      <c r="N57" s="136"/>
      <c r="O57" s="137"/>
      <c r="P57" s="136"/>
      <c r="Q57" s="136"/>
      <c r="R57" s="136"/>
      <c r="S57" s="137"/>
      <c r="T57" s="136"/>
      <c r="U57" s="136"/>
      <c r="V57" s="136"/>
      <c r="W57" s="137"/>
      <c r="X57" s="136"/>
      <c r="Y57" s="136"/>
      <c r="Z57" s="136"/>
      <c r="AA57" s="137"/>
      <c r="AB57" s="136"/>
      <c r="AC57" s="136"/>
      <c r="AD57" s="136"/>
      <c r="AE57" s="137"/>
      <c r="AF57" s="136"/>
      <c r="AH57" s="136" t="s">
        <v>174</v>
      </c>
      <c r="AI57" s="137"/>
      <c r="AJ57" s="136"/>
      <c r="AK57" s="136"/>
      <c r="AL57" s="136"/>
      <c r="AM57" s="137"/>
      <c r="AN57" s="136"/>
      <c r="AO57" s="136"/>
      <c r="AP57" s="136"/>
      <c r="AQ57" s="137"/>
      <c r="AR57" s="136"/>
      <c r="AS57" s="136"/>
      <c r="AT57" s="136"/>
      <c r="AU57" s="137"/>
      <c r="AV57" s="136"/>
      <c r="AW57" s="136"/>
      <c r="AX57" s="136"/>
      <c r="AY57" s="137"/>
      <c r="AZ57" s="136"/>
      <c r="BA57" s="136"/>
      <c r="BB57" s="136"/>
      <c r="BC57" s="137"/>
      <c r="BD57" s="136"/>
      <c r="BE57" s="136"/>
      <c r="BF57" s="136"/>
      <c r="BG57" s="137"/>
      <c r="BH57" s="136"/>
      <c r="BI57" s="136"/>
      <c r="BJ57" s="136"/>
      <c r="BK57" s="137"/>
      <c r="BL57" s="136"/>
      <c r="BM57" s="136"/>
      <c r="BN57" s="136"/>
      <c r="BO57" s="137"/>
      <c r="BP57" s="136"/>
      <c r="BQ57" s="136"/>
      <c r="BR57" s="136"/>
      <c r="BS57" s="137"/>
      <c r="BT57" s="136"/>
      <c r="BU57" s="136"/>
      <c r="BV57" s="136"/>
      <c r="BW57" s="137"/>
      <c r="BX57" s="136"/>
      <c r="BY57" s="136"/>
      <c r="BZ57" s="136"/>
      <c r="CA57" s="137"/>
      <c r="CB57" s="136"/>
      <c r="CC57" s="136"/>
      <c r="CD57" s="136"/>
      <c r="CE57" s="137"/>
      <c r="CF57" s="136"/>
      <c r="CG57" s="136"/>
      <c r="CH57" s="136"/>
      <c r="CI57" s="137"/>
      <c r="CJ57" s="136"/>
      <c r="CK57" s="136"/>
      <c r="CL57" s="136"/>
      <c r="CM57" s="137"/>
      <c r="CN57" s="136"/>
      <c r="CO57" s="136"/>
      <c r="CP57" s="136"/>
      <c r="CQ57" s="137"/>
      <c r="CR57" s="136"/>
      <c r="CS57" s="136"/>
      <c r="CT57" s="136"/>
      <c r="CU57" s="137"/>
      <c r="CV57" s="136"/>
      <c r="CW57" s="136"/>
      <c r="CX57" s="136"/>
      <c r="CY57" s="137"/>
    </row>
    <row r="58" spans="1:103" x14ac:dyDescent="0.25">
      <c r="A58" s="102" t="s">
        <v>278</v>
      </c>
      <c r="B58" s="103" t="s">
        <v>279</v>
      </c>
      <c r="C58" s="103" t="s">
        <v>268</v>
      </c>
      <c r="D58" s="122">
        <v>0</v>
      </c>
      <c r="E58" s="164">
        <v>45740</v>
      </c>
      <c r="F58" s="165">
        <v>45763</v>
      </c>
      <c r="G58" s="22"/>
      <c r="H58" s="138"/>
      <c r="I58" s="138"/>
      <c r="J58" s="138"/>
      <c r="K58" s="143"/>
      <c r="L58" s="138"/>
      <c r="M58" s="138"/>
      <c r="N58" s="138"/>
      <c r="O58" s="143"/>
      <c r="P58" s="138"/>
      <c r="Q58" s="138"/>
      <c r="R58" s="138"/>
      <c r="S58" s="143"/>
      <c r="T58" s="138"/>
      <c r="U58" s="138"/>
      <c r="V58" s="138"/>
      <c r="W58" s="143"/>
      <c r="X58" s="138"/>
      <c r="Y58" s="138"/>
      <c r="Z58" s="138"/>
      <c r="AA58" s="143"/>
      <c r="AB58" s="138"/>
      <c r="AC58" s="138"/>
      <c r="AD58" s="138"/>
      <c r="AE58" s="170"/>
      <c r="AF58" s="172"/>
      <c r="AG58" s="172"/>
      <c r="AH58" s="172"/>
      <c r="AI58" s="143"/>
      <c r="AJ58" s="138"/>
      <c r="AK58" s="138"/>
      <c r="AL58" s="138"/>
      <c r="AM58" s="143"/>
      <c r="AN58" s="138"/>
      <c r="AO58" s="138"/>
      <c r="AP58" s="138"/>
      <c r="AQ58" s="143"/>
      <c r="AR58" s="138"/>
      <c r="AS58" s="138"/>
      <c r="AT58" s="138"/>
      <c r="AU58" s="143"/>
      <c r="AV58" s="138"/>
      <c r="AW58" s="138"/>
      <c r="AX58" s="138"/>
      <c r="AY58" s="143"/>
      <c r="AZ58" s="138"/>
      <c r="BA58" s="138"/>
      <c r="BB58" s="138"/>
      <c r="BC58" s="143"/>
      <c r="BD58" s="138"/>
      <c r="BE58" s="138"/>
      <c r="BF58" s="138"/>
      <c r="BG58" s="143"/>
      <c r="BH58" s="138"/>
      <c r="BI58" s="138"/>
      <c r="BJ58" s="138"/>
      <c r="BK58" s="143"/>
      <c r="BL58" s="138"/>
      <c r="BM58" s="138"/>
      <c r="BN58" s="138"/>
      <c r="BO58" s="143"/>
      <c r="BP58" s="138"/>
      <c r="BQ58" s="138"/>
      <c r="BR58" s="138"/>
      <c r="BS58" s="143"/>
      <c r="BT58" s="138"/>
      <c r="BU58" s="138"/>
      <c r="BV58" s="138"/>
      <c r="BW58" s="143"/>
      <c r="BX58" s="138"/>
      <c r="BY58" s="138"/>
      <c r="BZ58" s="138"/>
      <c r="CA58" s="143"/>
      <c r="CB58" s="138"/>
      <c r="CC58" s="138"/>
      <c r="CD58" s="138"/>
      <c r="CE58" s="143"/>
      <c r="CF58" s="138"/>
      <c r="CG58" s="138"/>
      <c r="CH58" s="138"/>
      <c r="CI58" s="143"/>
      <c r="CJ58" s="138"/>
      <c r="CK58" s="138"/>
      <c r="CL58" s="138"/>
      <c r="CM58" s="143"/>
      <c r="CN58" s="138"/>
      <c r="CO58" s="138"/>
      <c r="CP58" s="138"/>
      <c r="CQ58" s="143"/>
      <c r="CR58" s="138"/>
      <c r="CS58" s="138"/>
      <c r="CT58" s="138"/>
      <c r="CU58" s="143"/>
      <c r="CV58" s="138"/>
      <c r="CW58" s="138"/>
      <c r="CX58" s="138"/>
      <c r="CY58" s="143"/>
    </row>
    <row r="59" spans="1:103" x14ac:dyDescent="0.25">
      <c r="A59" s="211" t="s">
        <v>280</v>
      </c>
      <c r="B59" s="101" t="s">
        <v>281</v>
      </c>
      <c r="C59" s="101"/>
      <c r="D59" s="212" t="s">
        <v>242</v>
      </c>
      <c r="E59" s="160"/>
      <c r="F59" s="161">
        <v>45764</v>
      </c>
      <c r="H59" s="136"/>
      <c r="I59" s="136"/>
      <c r="J59" s="136"/>
      <c r="K59" s="137"/>
      <c r="L59" s="136"/>
      <c r="M59" s="136"/>
      <c r="N59" s="136"/>
      <c r="O59" s="137"/>
      <c r="P59" s="136"/>
      <c r="Q59" s="136"/>
      <c r="R59" s="136"/>
      <c r="S59" s="137"/>
      <c r="T59" s="136"/>
      <c r="U59" s="136"/>
      <c r="V59" s="136"/>
      <c r="W59" s="137"/>
      <c r="X59" s="136"/>
      <c r="Y59" s="136"/>
      <c r="Z59" s="136"/>
      <c r="AA59" s="137"/>
      <c r="AB59" s="136"/>
      <c r="AC59" s="136"/>
      <c r="AD59" s="136"/>
      <c r="AE59" s="137"/>
      <c r="AF59" s="136"/>
      <c r="AH59" s="136" t="s">
        <v>174</v>
      </c>
      <c r="AI59" s="137"/>
      <c r="AJ59" s="136"/>
      <c r="AK59" s="136"/>
      <c r="AL59" s="136"/>
      <c r="AM59" s="137"/>
      <c r="AN59" s="136"/>
      <c r="AO59" s="136"/>
      <c r="AP59" s="136"/>
      <c r="AQ59" s="137"/>
      <c r="AR59" s="136"/>
      <c r="AS59" s="136"/>
      <c r="AT59" s="136"/>
      <c r="AU59" s="137"/>
      <c r="AV59" s="136"/>
      <c r="AW59" s="136"/>
      <c r="AX59" s="136"/>
      <c r="AY59" s="137"/>
      <c r="AZ59" s="136"/>
      <c r="BA59" s="136"/>
      <c r="BB59" s="136"/>
      <c r="BC59" s="137"/>
      <c r="BD59" s="136"/>
      <c r="BE59" s="136"/>
      <c r="BF59" s="136"/>
      <c r="BG59" s="137"/>
      <c r="BH59" s="136"/>
      <c r="BI59" s="136"/>
      <c r="BJ59" s="136"/>
      <c r="BK59" s="137"/>
      <c r="BL59" s="136"/>
      <c r="BM59" s="136"/>
      <c r="BN59" s="136"/>
      <c r="BO59" s="137"/>
      <c r="BP59" s="136"/>
      <c r="BQ59" s="136"/>
      <c r="BR59" s="136"/>
      <c r="BS59" s="137"/>
      <c r="BT59" s="136"/>
      <c r="BU59" s="136"/>
      <c r="BV59" s="136"/>
      <c r="BW59" s="137"/>
      <c r="BX59" s="136"/>
      <c r="BY59" s="136"/>
      <c r="BZ59" s="136"/>
      <c r="CA59" s="137"/>
      <c r="CB59" s="136"/>
      <c r="CC59" s="136"/>
      <c r="CD59" s="136"/>
      <c r="CE59" s="137"/>
      <c r="CF59" s="136"/>
      <c r="CG59" s="136"/>
      <c r="CH59" s="136"/>
      <c r="CI59" s="137"/>
      <c r="CJ59" s="136"/>
      <c r="CK59" s="136"/>
      <c r="CL59" s="136"/>
      <c r="CM59" s="137"/>
      <c r="CN59" s="136"/>
      <c r="CO59" s="136"/>
      <c r="CP59" s="136"/>
      <c r="CQ59" s="137"/>
      <c r="CR59" s="136"/>
      <c r="CS59" s="136"/>
      <c r="CT59" s="136"/>
      <c r="CU59" s="137"/>
      <c r="CV59" s="136"/>
      <c r="CW59" s="136"/>
      <c r="CX59" s="136"/>
      <c r="CY59" s="137"/>
    </row>
    <row r="60" spans="1:103" x14ac:dyDescent="0.25">
      <c r="A60" s="104" t="s">
        <v>282</v>
      </c>
      <c r="B60" s="105" t="s">
        <v>283</v>
      </c>
      <c r="C60" s="105" t="s">
        <v>271</v>
      </c>
      <c r="D60" s="123">
        <v>0</v>
      </c>
      <c r="E60" s="166">
        <v>45740</v>
      </c>
      <c r="F60" s="167">
        <v>45772</v>
      </c>
      <c r="H60" s="138"/>
      <c r="I60" s="138"/>
      <c r="J60" s="138"/>
      <c r="K60" s="143"/>
      <c r="L60" s="138"/>
      <c r="M60" s="138"/>
      <c r="N60" s="138"/>
      <c r="O60" s="143"/>
      <c r="P60" s="138"/>
      <c r="Q60" s="138"/>
      <c r="R60" s="138"/>
      <c r="S60" s="143"/>
      <c r="T60" s="138"/>
      <c r="U60" s="138"/>
      <c r="V60" s="138"/>
      <c r="W60" s="143"/>
      <c r="X60" s="138"/>
      <c r="Y60" s="138"/>
      <c r="Z60" s="138"/>
      <c r="AA60" s="143"/>
      <c r="AB60" s="138"/>
      <c r="AC60" s="138"/>
      <c r="AD60" s="138"/>
      <c r="AE60" s="170"/>
      <c r="AF60" s="172"/>
      <c r="AG60" s="172"/>
      <c r="AH60" s="172"/>
      <c r="AI60" s="143"/>
      <c r="AJ60" s="138"/>
      <c r="AK60" s="138"/>
      <c r="AL60" s="138"/>
      <c r="AM60" s="143"/>
      <c r="AN60" s="138"/>
      <c r="AO60" s="138"/>
      <c r="AP60" s="138"/>
      <c r="AQ60" s="143"/>
      <c r="AR60" s="138"/>
      <c r="AS60" s="138"/>
      <c r="AT60" s="138"/>
      <c r="AU60" s="143"/>
      <c r="AV60" s="138"/>
      <c r="AW60" s="138"/>
      <c r="AX60" s="138"/>
      <c r="AY60" s="143"/>
      <c r="AZ60" s="138"/>
      <c r="BA60" s="138"/>
      <c r="BB60" s="138"/>
      <c r="BC60" s="143"/>
      <c r="BD60" s="138"/>
      <c r="BE60" s="138"/>
      <c r="BF60" s="138"/>
      <c r="BG60" s="143"/>
      <c r="BH60" s="138"/>
      <c r="BI60" s="138"/>
      <c r="BJ60" s="138"/>
      <c r="BK60" s="143"/>
      <c r="BL60" s="138"/>
      <c r="BM60" s="138"/>
      <c r="BN60" s="138"/>
      <c r="BO60" s="143"/>
      <c r="BP60" s="138"/>
      <c r="BQ60" s="138"/>
      <c r="BR60" s="138"/>
      <c r="BS60" s="143"/>
      <c r="BT60" s="138"/>
      <c r="BU60" s="138"/>
      <c r="BV60" s="138"/>
      <c r="BW60" s="143"/>
      <c r="BX60" s="138"/>
      <c r="BY60" s="138"/>
      <c r="BZ60" s="138"/>
      <c r="CA60" s="143"/>
      <c r="CB60" s="138"/>
      <c r="CC60" s="138"/>
      <c r="CD60" s="138"/>
      <c r="CE60" s="143"/>
      <c r="CF60" s="138"/>
      <c r="CG60" s="138"/>
      <c r="CH60" s="138"/>
      <c r="CI60" s="143"/>
      <c r="CJ60" s="138"/>
      <c r="CK60" s="138"/>
      <c r="CL60" s="138"/>
      <c r="CM60" s="143"/>
      <c r="CN60" s="138"/>
      <c r="CO60" s="138"/>
      <c r="CP60" s="138"/>
      <c r="CQ60" s="143"/>
      <c r="CR60" s="138"/>
      <c r="CS60" s="138"/>
      <c r="CT60" s="138"/>
      <c r="CU60" s="143"/>
      <c r="CV60" s="138"/>
      <c r="CW60" s="138"/>
      <c r="CX60" s="138"/>
      <c r="CY60" s="143"/>
    </row>
    <row r="61" spans="1:103" x14ac:dyDescent="0.25">
      <c r="A61" s="211" t="s">
        <v>284</v>
      </c>
      <c r="B61" s="101" t="s">
        <v>285</v>
      </c>
      <c r="C61" s="101"/>
      <c r="D61" s="212" t="s">
        <v>242</v>
      </c>
      <c r="E61" s="160"/>
      <c r="F61" s="161">
        <v>45764</v>
      </c>
      <c r="H61" s="136"/>
      <c r="I61" s="136"/>
      <c r="J61" s="136"/>
      <c r="K61" s="137"/>
      <c r="L61" s="136"/>
      <c r="M61" s="136"/>
      <c r="N61" s="136"/>
      <c r="O61" s="137"/>
      <c r="P61" s="136"/>
      <c r="Q61" s="136"/>
      <c r="R61" s="136"/>
      <c r="S61" s="137"/>
      <c r="T61" s="136"/>
      <c r="U61" s="136"/>
      <c r="V61" s="136"/>
      <c r="W61" s="137"/>
      <c r="X61" s="136"/>
      <c r="Y61" s="136"/>
      <c r="Z61" s="136"/>
      <c r="AA61" s="137"/>
      <c r="AB61" s="136"/>
      <c r="AC61" s="136"/>
      <c r="AD61" s="136"/>
      <c r="AE61" s="137"/>
      <c r="AF61" s="136"/>
      <c r="AG61" s="138"/>
      <c r="AH61" s="136" t="s">
        <v>174</v>
      </c>
      <c r="AI61" s="137"/>
      <c r="AJ61" s="136"/>
      <c r="AK61" s="136"/>
      <c r="AL61" s="136"/>
      <c r="AM61" s="137"/>
      <c r="AN61" s="136"/>
      <c r="AO61" s="136"/>
      <c r="AP61" s="136"/>
      <c r="AQ61" s="137"/>
      <c r="AR61" s="136"/>
      <c r="AS61" s="136"/>
      <c r="AT61" s="136"/>
      <c r="AU61" s="137"/>
      <c r="AV61" s="136"/>
      <c r="AW61" s="136"/>
      <c r="AX61" s="136"/>
      <c r="AY61" s="137"/>
      <c r="AZ61" s="136"/>
      <c r="BA61" s="136"/>
      <c r="BB61" s="136"/>
      <c r="BC61" s="137"/>
      <c r="BD61" s="136"/>
      <c r="BE61" s="136"/>
      <c r="BF61" s="136"/>
      <c r="BG61" s="137"/>
      <c r="BH61" s="136"/>
      <c r="BI61" s="136"/>
      <c r="BJ61" s="136"/>
      <c r="BK61" s="137"/>
      <c r="BL61" s="136"/>
      <c r="BM61" s="136"/>
      <c r="BN61" s="136"/>
      <c r="BO61" s="137"/>
      <c r="BP61" s="136"/>
      <c r="BQ61" s="136"/>
      <c r="BR61" s="136"/>
      <c r="BS61" s="137"/>
      <c r="BT61" s="136"/>
      <c r="BU61" s="136"/>
      <c r="BV61" s="136"/>
      <c r="BW61" s="137"/>
      <c r="BX61" s="136"/>
      <c r="BY61" s="136"/>
      <c r="BZ61" s="136"/>
      <c r="CA61" s="137"/>
      <c r="CB61" s="136"/>
      <c r="CC61" s="136"/>
      <c r="CD61" s="136"/>
      <c r="CE61" s="137"/>
      <c r="CF61" s="136"/>
      <c r="CG61" s="136"/>
      <c r="CH61" s="136"/>
      <c r="CI61" s="137"/>
      <c r="CJ61" s="136"/>
      <c r="CK61" s="136"/>
      <c r="CL61" s="136"/>
      <c r="CM61" s="137"/>
      <c r="CN61" s="136"/>
      <c r="CO61" s="136"/>
      <c r="CP61" s="136"/>
      <c r="CQ61" s="137"/>
      <c r="CR61" s="136"/>
      <c r="CS61" s="136"/>
      <c r="CT61" s="136"/>
      <c r="CU61" s="137"/>
      <c r="CV61" s="136"/>
      <c r="CW61" s="136"/>
      <c r="CX61" s="136"/>
      <c r="CY61" s="137"/>
    </row>
    <row r="62" spans="1:103" x14ac:dyDescent="0.25">
      <c r="A62" s="211" t="s">
        <v>286</v>
      </c>
      <c r="B62" s="101" t="s">
        <v>287</v>
      </c>
      <c r="C62" s="101"/>
      <c r="D62" s="212" t="s">
        <v>242</v>
      </c>
      <c r="E62" s="160"/>
      <c r="F62" s="161">
        <v>45768</v>
      </c>
      <c r="H62" s="136"/>
      <c r="I62" s="136"/>
      <c r="J62" s="136"/>
      <c r="K62" s="137"/>
      <c r="L62" s="136"/>
      <c r="M62" s="136"/>
      <c r="N62" s="136"/>
      <c r="O62" s="137"/>
      <c r="P62" s="136"/>
      <c r="Q62" s="136"/>
      <c r="R62" s="136"/>
      <c r="S62" s="137"/>
      <c r="T62" s="136"/>
      <c r="U62" s="136"/>
      <c r="V62" s="136"/>
      <c r="W62" s="137"/>
      <c r="X62" s="136"/>
      <c r="Y62" s="136"/>
      <c r="Z62" s="136"/>
      <c r="AA62" s="137"/>
      <c r="AB62" s="136"/>
      <c r="AC62" s="136"/>
      <c r="AD62" s="136"/>
      <c r="AE62" s="137"/>
      <c r="AF62" s="136"/>
      <c r="AG62" s="136"/>
      <c r="AH62" s="136"/>
      <c r="AI62" s="136" t="s">
        <v>174</v>
      </c>
      <c r="AJ62" s="136"/>
      <c r="AK62" s="136"/>
      <c r="AL62" s="136"/>
      <c r="AM62" s="137"/>
      <c r="AN62" s="136"/>
      <c r="AO62" s="136"/>
      <c r="AP62" s="136"/>
      <c r="AQ62" s="137"/>
      <c r="AR62" s="136"/>
      <c r="AS62" s="136"/>
      <c r="AT62" s="136"/>
      <c r="AU62" s="137"/>
      <c r="AV62" s="136"/>
      <c r="AW62" s="136"/>
      <c r="AX62" s="136"/>
      <c r="AY62" s="137"/>
      <c r="AZ62" s="136"/>
      <c r="BA62" s="136"/>
      <c r="BB62" s="136"/>
      <c r="BC62" s="137"/>
      <c r="BD62" s="136"/>
      <c r="BE62" s="136"/>
      <c r="BF62" s="136"/>
      <c r="BG62" s="137"/>
      <c r="BH62" s="136"/>
      <c r="BI62" s="136"/>
      <c r="BJ62" s="136"/>
      <c r="BK62" s="137"/>
      <c r="BL62" s="136"/>
      <c r="BM62" s="136"/>
      <c r="BN62" s="136"/>
      <c r="BO62" s="137"/>
      <c r="BP62" s="136"/>
      <c r="BQ62" s="136"/>
      <c r="BR62" s="136"/>
      <c r="BS62" s="137"/>
      <c r="BT62" s="136"/>
      <c r="BU62" s="136"/>
      <c r="BV62" s="136"/>
      <c r="BW62" s="137"/>
      <c r="BX62" s="136"/>
      <c r="BY62" s="136"/>
      <c r="BZ62" s="136"/>
      <c r="CA62" s="137"/>
      <c r="CB62" s="136"/>
      <c r="CC62" s="136"/>
      <c r="CD62" s="136"/>
      <c r="CE62" s="137"/>
      <c r="CF62" s="136"/>
      <c r="CG62" s="136"/>
      <c r="CH62" s="136"/>
      <c r="CI62" s="137"/>
      <c r="CJ62" s="136"/>
      <c r="CK62" s="136"/>
      <c r="CL62" s="136"/>
      <c r="CM62" s="137"/>
      <c r="CN62" s="136"/>
      <c r="CO62" s="136"/>
      <c r="CP62" s="136"/>
      <c r="CQ62" s="137"/>
      <c r="CR62" s="136"/>
      <c r="CS62" s="136"/>
      <c r="CT62" s="136"/>
      <c r="CU62" s="137"/>
      <c r="CV62" s="136"/>
      <c r="CW62" s="136"/>
      <c r="CX62" s="136"/>
      <c r="CY62" s="137"/>
    </row>
    <row r="63" spans="1:103" ht="15.75" x14ac:dyDescent="0.25">
      <c r="A63" s="88"/>
      <c r="B63" s="89" t="s">
        <v>288</v>
      </c>
      <c r="C63" s="88"/>
      <c r="D63" s="88"/>
      <c r="E63" s="88"/>
      <c r="F63" s="88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  <c r="AL63" s="354"/>
      <c r="AM63" s="354"/>
      <c r="AN63" s="354"/>
      <c r="AO63" s="354"/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4"/>
      <c r="BH63" s="354"/>
      <c r="BI63" s="354"/>
      <c r="BJ63" s="354"/>
      <c r="BK63" s="354"/>
      <c r="BL63" s="354"/>
      <c r="BM63" s="354"/>
      <c r="BN63" s="354"/>
      <c r="BO63" s="354"/>
      <c r="BP63" s="354"/>
      <c r="BQ63" s="354"/>
      <c r="BR63" s="354"/>
      <c r="BS63" s="354"/>
      <c r="BT63" s="354"/>
      <c r="BU63" s="354"/>
      <c r="BV63" s="354"/>
      <c r="BW63" s="354"/>
      <c r="BX63" s="354"/>
      <c r="BY63" s="354"/>
      <c r="BZ63" s="354"/>
      <c r="CA63" s="354"/>
      <c r="CB63" s="354"/>
      <c r="CC63" s="354"/>
      <c r="CD63" s="354"/>
      <c r="CE63" s="354"/>
      <c r="CF63" s="354"/>
      <c r="CG63" s="354"/>
      <c r="CH63" s="354"/>
      <c r="CI63" s="354"/>
      <c r="CJ63" s="354"/>
      <c r="CK63" s="354"/>
      <c r="CL63" s="354"/>
      <c r="CM63" s="354"/>
      <c r="CN63" s="354"/>
      <c r="CO63" s="354"/>
      <c r="CP63" s="354"/>
      <c r="CQ63" s="354"/>
      <c r="CR63" s="354"/>
      <c r="CS63" s="354"/>
      <c r="CT63" s="354"/>
      <c r="CU63" s="354"/>
      <c r="CV63" s="354"/>
      <c r="CW63" s="354"/>
      <c r="CX63" s="354"/>
      <c r="CY63" s="354"/>
    </row>
    <row r="64" spans="1:103" x14ac:dyDescent="0.25">
      <c r="A64" s="108" t="s">
        <v>289</v>
      </c>
      <c r="B64" s="109" t="s">
        <v>290</v>
      </c>
      <c r="C64" s="109" t="s">
        <v>291</v>
      </c>
      <c r="D64" s="124">
        <v>0</v>
      </c>
      <c r="E64" s="173">
        <v>45712</v>
      </c>
      <c r="F64" s="174">
        <v>45728</v>
      </c>
      <c r="H64" s="133"/>
      <c r="I64" s="133"/>
      <c r="J64" s="133"/>
      <c r="K64" s="134"/>
      <c r="L64" s="133"/>
      <c r="M64" s="133"/>
      <c r="N64" s="133"/>
      <c r="O64" s="134"/>
      <c r="P64" s="133"/>
      <c r="Q64" s="133"/>
      <c r="R64" s="133"/>
      <c r="S64" s="134"/>
      <c r="T64" s="133"/>
      <c r="U64" s="133"/>
      <c r="V64" s="133"/>
      <c r="W64" s="134"/>
      <c r="X64" s="133"/>
      <c r="Y64" s="133"/>
      <c r="Z64" s="133"/>
      <c r="AA64" s="134"/>
      <c r="AB64" s="154"/>
      <c r="AC64" s="154"/>
      <c r="AD64" s="154"/>
      <c r="AE64" s="134"/>
      <c r="AF64" s="133"/>
      <c r="AG64" s="133"/>
      <c r="AH64" s="133"/>
      <c r="AI64" s="134"/>
      <c r="AJ64" s="133"/>
      <c r="AK64" s="133"/>
      <c r="AL64" s="133"/>
      <c r="AM64" s="134"/>
      <c r="AN64" s="133"/>
      <c r="AO64" s="133"/>
      <c r="AP64" s="133"/>
      <c r="AQ64" s="134"/>
      <c r="AR64" s="133"/>
      <c r="AS64" s="133"/>
      <c r="AT64" s="133"/>
      <c r="AU64" s="134"/>
      <c r="AV64" s="133"/>
      <c r="AW64" s="133"/>
      <c r="AX64" s="133"/>
      <c r="AY64" s="134"/>
      <c r="AZ64" s="133"/>
      <c r="BA64" s="133"/>
      <c r="BB64" s="133"/>
      <c r="BC64" s="134"/>
      <c r="BD64" s="133"/>
      <c r="BE64" s="133"/>
      <c r="BF64" s="133"/>
      <c r="BG64" s="134"/>
      <c r="BH64" s="133"/>
      <c r="BI64" s="133"/>
      <c r="BJ64" s="133"/>
      <c r="BK64" s="134"/>
      <c r="BL64" s="133"/>
      <c r="BM64" s="133"/>
      <c r="BN64" s="133"/>
      <c r="BO64" s="134"/>
      <c r="BP64" s="133"/>
      <c r="BQ64" s="133"/>
      <c r="BR64" s="133"/>
      <c r="BS64" s="134"/>
      <c r="BT64" s="133"/>
      <c r="BU64" s="133"/>
      <c r="BV64" s="133"/>
      <c r="BW64" s="134"/>
      <c r="BX64" s="133"/>
      <c r="BY64" s="133"/>
      <c r="BZ64" s="133"/>
      <c r="CA64" s="134"/>
      <c r="CB64" s="133"/>
      <c r="CC64" s="133"/>
      <c r="CD64" s="133"/>
      <c r="CE64" s="134"/>
      <c r="CF64" s="133"/>
      <c r="CG64" s="133"/>
      <c r="CH64" s="133"/>
      <c r="CI64" s="134"/>
      <c r="CJ64" s="133"/>
      <c r="CK64" s="133"/>
      <c r="CL64" s="133"/>
      <c r="CM64" s="134"/>
      <c r="CN64" s="133"/>
      <c r="CO64" s="133"/>
      <c r="CP64" s="133"/>
      <c r="CQ64" s="134"/>
      <c r="CR64" s="133"/>
      <c r="CS64" s="133"/>
      <c r="CT64" s="133"/>
      <c r="CU64" s="134"/>
      <c r="CV64" s="133"/>
      <c r="CW64" s="133"/>
      <c r="CX64" s="133"/>
      <c r="CY64" s="134"/>
    </row>
    <row r="65" spans="1:103" x14ac:dyDescent="0.25">
      <c r="A65" s="108" t="s">
        <v>292</v>
      </c>
      <c r="B65" s="109" t="s">
        <v>293</v>
      </c>
      <c r="C65" s="109" t="s">
        <v>291</v>
      </c>
      <c r="D65" s="124">
        <v>0</v>
      </c>
      <c r="E65" s="173">
        <v>45726</v>
      </c>
      <c r="F65" s="174">
        <v>45729</v>
      </c>
      <c r="H65" s="136"/>
      <c r="I65" s="136"/>
      <c r="J65" s="136"/>
      <c r="K65" s="137"/>
      <c r="L65" s="136"/>
      <c r="M65" s="136"/>
      <c r="N65" s="136"/>
      <c r="O65" s="137"/>
      <c r="P65" s="136"/>
      <c r="Q65" s="136"/>
      <c r="R65" s="136"/>
      <c r="S65" s="137"/>
      <c r="T65" s="136"/>
      <c r="U65" s="136"/>
      <c r="V65" s="136"/>
      <c r="W65" s="137"/>
      <c r="X65" s="136"/>
      <c r="Y65" s="136"/>
      <c r="Z65" s="136"/>
      <c r="AA65" s="137"/>
      <c r="AB65" s="136"/>
      <c r="AC65" s="136"/>
      <c r="AD65" s="168"/>
      <c r="AE65" s="137"/>
      <c r="AF65" s="136"/>
      <c r="AG65" s="136"/>
      <c r="AH65" s="136"/>
      <c r="AI65" s="137"/>
      <c r="AJ65" s="136"/>
      <c r="AK65" s="136"/>
      <c r="AL65" s="136"/>
      <c r="AM65" s="137"/>
      <c r="AN65" s="136"/>
      <c r="AO65" s="136"/>
      <c r="AP65" s="136"/>
      <c r="AQ65" s="137"/>
      <c r="AR65" s="136"/>
      <c r="AS65" s="136"/>
      <c r="AT65" s="136"/>
      <c r="AU65" s="137"/>
      <c r="AV65" s="136"/>
      <c r="AW65" s="136"/>
      <c r="AX65" s="136"/>
      <c r="AY65" s="137"/>
      <c r="AZ65" s="136"/>
      <c r="BA65" s="136"/>
      <c r="BB65" s="136"/>
      <c r="BC65" s="137"/>
      <c r="BD65" s="136"/>
      <c r="BE65" s="136"/>
      <c r="BF65" s="136"/>
      <c r="BG65" s="137"/>
      <c r="BH65" s="136"/>
      <c r="BI65" s="136"/>
      <c r="BJ65" s="136"/>
      <c r="BK65" s="137"/>
      <c r="BL65" s="136"/>
      <c r="BM65" s="136"/>
      <c r="BN65" s="136"/>
      <c r="BO65" s="137"/>
      <c r="BP65" s="136"/>
      <c r="BQ65" s="136"/>
      <c r="BR65" s="136"/>
      <c r="BS65" s="137"/>
      <c r="BT65" s="136"/>
      <c r="BU65" s="136"/>
      <c r="BV65" s="136"/>
      <c r="BW65" s="137"/>
      <c r="BX65" s="136"/>
      <c r="BY65" s="136"/>
      <c r="BZ65" s="136"/>
      <c r="CA65" s="137"/>
      <c r="CB65" s="136"/>
      <c r="CC65" s="136"/>
      <c r="CD65" s="136"/>
      <c r="CE65" s="137"/>
      <c r="CF65" s="136"/>
      <c r="CG65" s="136"/>
      <c r="CH65" s="136"/>
      <c r="CI65" s="137"/>
      <c r="CJ65" s="136"/>
      <c r="CK65" s="136"/>
      <c r="CL65" s="136"/>
      <c r="CM65" s="137"/>
      <c r="CN65" s="136"/>
      <c r="CO65" s="136"/>
      <c r="CP65" s="136"/>
      <c r="CQ65" s="137"/>
      <c r="CR65" s="136"/>
      <c r="CS65" s="136"/>
      <c r="CT65" s="136"/>
      <c r="CU65" s="137"/>
      <c r="CV65" s="136"/>
      <c r="CW65" s="136"/>
      <c r="CX65" s="136"/>
      <c r="CY65" s="137"/>
    </row>
    <row r="66" spans="1:103" x14ac:dyDescent="0.25">
      <c r="A66" s="108" t="s">
        <v>294</v>
      </c>
      <c r="B66" s="109" t="s">
        <v>295</v>
      </c>
      <c r="C66" s="109" t="s">
        <v>296</v>
      </c>
      <c r="D66" s="124">
        <v>0</v>
      </c>
      <c r="E66" s="173">
        <v>45740</v>
      </c>
      <c r="F66" s="174">
        <v>45754</v>
      </c>
      <c r="H66" s="136"/>
      <c r="I66" s="136"/>
      <c r="J66" s="136"/>
      <c r="K66" s="137"/>
      <c r="L66" s="136"/>
      <c r="M66" s="136"/>
      <c r="N66" s="136"/>
      <c r="O66" s="137"/>
      <c r="P66" s="136"/>
      <c r="Q66" s="136"/>
      <c r="R66" s="136"/>
      <c r="S66" s="137"/>
      <c r="T66" s="136"/>
      <c r="U66" s="136"/>
      <c r="V66" s="136"/>
      <c r="W66" s="137"/>
      <c r="X66" s="136"/>
      <c r="Y66" s="136"/>
      <c r="Z66" s="136"/>
      <c r="AA66" s="137"/>
      <c r="AB66" s="136"/>
      <c r="AC66" s="136"/>
      <c r="AD66" s="136"/>
      <c r="AE66" s="153"/>
      <c r="AF66" s="168"/>
      <c r="AG66" s="136"/>
      <c r="AH66" s="136"/>
      <c r="AI66" s="137"/>
      <c r="AJ66" s="136"/>
      <c r="AK66" s="136"/>
      <c r="AL66" s="136"/>
      <c r="AM66" s="137"/>
      <c r="AN66" s="136"/>
      <c r="AO66" s="136"/>
      <c r="AP66" s="136"/>
      <c r="AQ66" s="137"/>
      <c r="AR66" s="136"/>
      <c r="AS66" s="136"/>
      <c r="AT66" s="136"/>
      <c r="AU66" s="137"/>
      <c r="AV66" s="136"/>
      <c r="AW66" s="136"/>
      <c r="AX66" s="136"/>
      <c r="AY66" s="137"/>
      <c r="AZ66" s="136"/>
      <c r="BA66" s="136"/>
      <c r="BB66" s="136"/>
      <c r="BC66" s="137"/>
      <c r="BD66" s="136"/>
      <c r="BE66" s="136"/>
      <c r="BF66" s="136"/>
      <c r="BG66" s="137"/>
      <c r="BH66" s="136"/>
      <c r="BI66" s="136"/>
      <c r="BJ66" s="136"/>
      <c r="BK66" s="137"/>
      <c r="BL66" s="136"/>
      <c r="BM66" s="136"/>
      <c r="BN66" s="136"/>
      <c r="BO66" s="137"/>
      <c r="BP66" s="136"/>
      <c r="BQ66" s="136"/>
      <c r="BR66" s="136"/>
      <c r="BS66" s="137"/>
      <c r="BT66" s="136"/>
      <c r="BU66" s="136"/>
      <c r="BV66" s="136"/>
      <c r="BW66" s="137"/>
      <c r="BX66" s="136"/>
      <c r="BY66" s="136"/>
      <c r="BZ66" s="136"/>
      <c r="CA66" s="137"/>
      <c r="CB66" s="136"/>
      <c r="CC66" s="136"/>
      <c r="CD66" s="136"/>
      <c r="CE66" s="137"/>
      <c r="CF66" s="136"/>
      <c r="CG66" s="136"/>
      <c r="CH66" s="136"/>
      <c r="CI66" s="137"/>
      <c r="CJ66" s="136"/>
      <c r="CK66" s="136"/>
      <c r="CL66" s="136"/>
      <c r="CM66" s="137"/>
      <c r="CN66" s="136"/>
      <c r="CO66" s="136"/>
      <c r="CP66" s="136"/>
      <c r="CQ66" s="137"/>
      <c r="CR66" s="136"/>
      <c r="CS66" s="136"/>
      <c r="CT66" s="136"/>
      <c r="CU66" s="137"/>
      <c r="CV66" s="136"/>
      <c r="CW66" s="136"/>
      <c r="CX66" s="136"/>
      <c r="CY66" s="137"/>
    </row>
    <row r="67" spans="1:103" x14ac:dyDescent="0.25">
      <c r="A67" s="213" t="s">
        <v>297</v>
      </c>
      <c r="B67" s="109" t="s">
        <v>298</v>
      </c>
      <c r="C67" s="109"/>
      <c r="D67" s="246" t="s">
        <v>242</v>
      </c>
      <c r="E67" s="173"/>
      <c r="F67" s="174">
        <v>45755</v>
      </c>
      <c r="H67" s="136"/>
      <c r="I67" s="136"/>
      <c r="J67" s="136"/>
      <c r="K67" s="137"/>
      <c r="L67" s="136"/>
      <c r="M67" s="136"/>
      <c r="N67" s="136"/>
      <c r="O67" s="137"/>
      <c r="P67" s="136"/>
      <c r="Q67" s="136"/>
      <c r="R67" s="136"/>
      <c r="S67" s="137"/>
      <c r="T67" s="136"/>
      <c r="U67" s="136"/>
      <c r="V67" s="136"/>
      <c r="W67" s="137"/>
      <c r="X67" s="136"/>
      <c r="Y67" s="136"/>
      <c r="Z67" s="136"/>
      <c r="AA67" s="137"/>
      <c r="AB67" s="136"/>
      <c r="AC67" s="136"/>
      <c r="AD67" s="136"/>
      <c r="AE67" s="137"/>
      <c r="AF67" s="136" t="s">
        <v>174</v>
      </c>
      <c r="AG67" s="136"/>
      <c r="AH67" s="136"/>
      <c r="AI67" s="137"/>
      <c r="AJ67" s="136"/>
      <c r="AK67" s="136"/>
      <c r="AL67" s="136"/>
      <c r="AM67" s="137"/>
      <c r="AN67" s="136"/>
      <c r="AO67" s="136"/>
      <c r="AP67" s="136"/>
      <c r="AQ67" s="137"/>
      <c r="AR67" s="136"/>
      <c r="AS67" s="136"/>
      <c r="AT67" s="136"/>
      <c r="AU67" s="137"/>
      <c r="AV67" s="136"/>
      <c r="AW67" s="136"/>
      <c r="AX67" s="136"/>
      <c r="AY67" s="137"/>
      <c r="AZ67" s="136"/>
      <c r="BA67" s="136"/>
      <c r="BB67" s="136"/>
      <c r="BC67" s="137"/>
      <c r="BD67" s="136"/>
      <c r="BE67" s="136"/>
      <c r="BF67" s="136"/>
      <c r="BG67" s="137"/>
      <c r="BH67" s="136"/>
      <c r="BI67" s="136"/>
      <c r="BJ67" s="136"/>
      <c r="BK67" s="137"/>
      <c r="BL67" s="136"/>
      <c r="BM67" s="136"/>
      <c r="BN67" s="136"/>
      <c r="BO67" s="137"/>
      <c r="BP67" s="136"/>
      <c r="BQ67" s="136"/>
      <c r="BR67" s="136"/>
      <c r="BS67" s="137"/>
      <c r="BT67" s="136"/>
      <c r="BU67" s="136"/>
      <c r="BV67" s="136"/>
      <c r="BW67" s="137"/>
      <c r="BX67" s="136"/>
      <c r="BY67" s="136"/>
      <c r="BZ67" s="136"/>
      <c r="CA67" s="137"/>
      <c r="CB67" s="136"/>
      <c r="CC67" s="136"/>
      <c r="CD67" s="136"/>
      <c r="CE67" s="137"/>
      <c r="CF67" s="136"/>
      <c r="CG67" s="136"/>
      <c r="CH67" s="136"/>
      <c r="CI67" s="137"/>
      <c r="CJ67" s="136"/>
      <c r="CK67" s="136"/>
      <c r="CL67" s="136"/>
      <c r="CM67" s="137"/>
      <c r="CN67" s="136"/>
      <c r="CO67" s="136"/>
      <c r="CP67" s="136"/>
      <c r="CQ67" s="137"/>
      <c r="CR67" s="136"/>
      <c r="CS67" s="136"/>
      <c r="CT67" s="136"/>
      <c r="CU67" s="137"/>
      <c r="CV67" s="136"/>
      <c r="CW67" s="136"/>
      <c r="CX67" s="136"/>
      <c r="CY67" s="137"/>
    </row>
    <row r="68" spans="1:103" x14ac:dyDescent="0.25">
      <c r="A68" s="108" t="s">
        <v>299</v>
      </c>
      <c r="B68" s="109" t="s">
        <v>300</v>
      </c>
      <c r="C68" s="109" t="s">
        <v>296</v>
      </c>
      <c r="D68" s="124">
        <v>0</v>
      </c>
      <c r="E68" s="173">
        <v>45740</v>
      </c>
      <c r="F68" s="174">
        <v>45772</v>
      </c>
      <c r="H68" s="136"/>
      <c r="I68" s="136"/>
      <c r="J68" s="136"/>
      <c r="K68" s="137"/>
      <c r="L68" s="136"/>
      <c r="M68" s="136"/>
      <c r="N68" s="136"/>
      <c r="O68" s="137"/>
      <c r="P68" s="136"/>
      <c r="Q68" s="136"/>
      <c r="R68" s="136"/>
      <c r="S68" s="137"/>
      <c r="T68" s="136"/>
      <c r="U68" s="136"/>
      <c r="V68" s="136"/>
      <c r="W68" s="137"/>
      <c r="X68" s="136"/>
      <c r="Y68" s="136"/>
      <c r="Z68" s="136"/>
      <c r="AA68" s="137"/>
      <c r="AB68" s="136"/>
      <c r="AC68" s="136"/>
      <c r="AD68" s="136"/>
      <c r="AE68" s="153"/>
      <c r="AF68" s="168"/>
      <c r="AG68" s="168"/>
      <c r="AH68" s="168"/>
      <c r="AI68" s="137"/>
      <c r="AJ68" s="136"/>
      <c r="AK68" s="136"/>
      <c r="AL68" s="136"/>
      <c r="AM68" s="137"/>
      <c r="AN68" s="136"/>
      <c r="AO68" s="136"/>
      <c r="AP68" s="136"/>
      <c r="AQ68" s="137"/>
      <c r="AR68" s="136"/>
      <c r="AS68" s="136"/>
      <c r="AT68" s="136"/>
      <c r="AU68" s="137"/>
      <c r="AV68" s="136"/>
      <c r="AW68" s="136"/>
      <c r="AX68" s="136"/>
      <c r="AY68" s="137"/>
      <c r="AZ68" s="136"/>
      <c r="BA68" s="136"/>
      <c r="BB68" s="136"/>
      <c r="BC68" s="137"/>
      <c r="BD68" s="136"/>
      <c r="BE68" s="136"/>
      <c r="BF68" s="136"/>
      <c r="BG68" s="137"/>
      <c r="BH68" s="136"/>
      <c r="BI68" s="136"/>
      <c r="BJ68" s="136"/>
      <c r="BK68" s="137"/>
      <c r="BL68" s="136"/>
      <c r="BM68" s="136"/>
      <c r="BN68" s="136"/>
      <c r="BO68" s="137"/>
      <c r="BP68" s="136"/>
      <c r="BQ68" s="136"/>
      <c r="BR68" s="136"/>
      <c r="BS68" s="137"/>
      <c r="BT68" s="136"/>
      <c r="BU68" s="136"/>
      <c r="BV68" s="136"/>
      <c r="BW68" s="137"/>
      <c r="BX68" s="136"/>
      <c r="BY68" s="136"/>
      <c r="BZ68" s="136"/>
      <c r="CA68" s="137"/>
      <c r="CB68" s="136"/>
      <c r="CC68" s="136"/>
      <c r="CD68" s="136"/>
      <c r="CE68" s="137"/>
      <c r="CF68" s="136"/>
      <c r="CG68" s="136"/>
      <c r="CH68" s="136"/>
      <c r="CI68" s="137"/>
      <c r="CJ68" s="136"/>
      <c r="CK68" s="136"/>
      <c r="CL68" s="136"/>
      <c r="CM68" s="137"/>
      <c r="CN68" s="136"/>
      <c r="CO68" s="136"/>
      <c r="CP68" s="136"/>
      <c r="CQ68" s="137"/>
      <c r="CR68" s="136"/>
      <c r="CS68" s="136"/>
      <c r="CT68" s="136"/>
      <c r="CU68" s="137"/>
      <c r="CV68" s="136"/>
      <c r="CW68" s="136"/>
      <c r="CX68" s="136"/>
      <c r="CY68" s="137"/>
    </row>
    <row r="69" spans="1:103" x14ac:dyDescent="0.25">
      <c r="A69" s="213" t="s">
        <v>301</v>
      </c>
      <c r="B69" s="109" t="s">
        <v>302</v>
      </c>
      <c r="C69" s="109"/>
      <c r="D69" s="246" t="s">
        <v>242</v>
      </c>
      <c r="E69" s="173"/>
      <c r="F69" s="174">
        <v>45775</v>
      </c>
      <c r="H69" s="136"/>
      <c r="I69" s="136"/>
      <c r="J69" s="136"/>
      <c r="K69" s="137"/>
      <c r="L69" s="136"/>
      <c r="M69" s="136"/>
      <c r="N69" s="136"/>
      <c r="O69" s="137"/>
      <c r="P69" s="136"/>
      <c r="Q69" s="136"/>
      <c r="R69" s="136"/>
      <c r="S69" s="137"/>
      <c r="T69" s="136"/>
      <c r="U69" s="136"/>
      <c r="V69" s="136"/>
      <c r="W69" s="137"/>
      <c r="X69" s="136"/>
      <c r="Y69" s="136"/>
      <c r="Z69" s="136"/>
      <c r="AA69" s="137"/>
      <c r="AB69" s="136"/>
      <c r="AC69" s="136"/>
      <c r="AD69" s="136"/>
      <c r="AE69" s="137"/>
      <c r="AG69" s="136"/>
      <c r="AH69" s="136" t="s">
        <v>174</v>
      </c>
      <c r="AI69" s="137"/>
      <c r="AJ69" s="136"/>
      <c r="AK69" s="136"/>
      <c r="AL69" s="136"/>
      <c r="AM69" s="137"/>
      <c r="AN69" s="136"/>
      <c r="AO69" s="136"/>
      <c r="AP69" s="136"/>
      <c r="AQ69" s="137"/>
      <c r="AR69" s="136"/>
      <c r="AS69" s="136"/>
      <c r="AT69" s="136"/>
      <c r="AU69" s="137"/>
      <c r="AV69" s="136"/>
      <c r="AW69" s="136"/>
      <c r="AX69" s="136"/>
      <c r="AY69" s="137"/>
      <c r="AZ69" s="136"/>
      <c r="BA69" s="136"/>
      <c r="BB69" s="136"/>
      <c r="BC69" s="137"/>
      <c r="BD69" s="136"/>
      <c r="BE69" s="136"/>
      <c r="BF69" s="136"/>
      <c r="BG69" s="137"/>
      <c r="BH69" s="136"/>
      <c r="BI69" s="136"/>
      <c r="BJ69" s="136"/>
      <c r="BK69" s="137"/>
      <c r="BL69" s="136"/>
      <c r="BM69" s="136"/>
      <c r="BN69" s="136"/>
      <c r="BO69" s="137"/>
      <c r="BP69" s="136"/>
      <c r="BQ69" s="136"/>
      <c r="BR69" s="136"/>
      <c r="BS69" s="137"/>
      <c r="BT69" s="136"/>
      <c r="BU69" s="136"/>
      <c r="BV69" s="136"/>
      <c r="BW69" s="137"/>
      <c r="BX69" s="136"/>
      <c r="BY69" s="136"/>
      <c r="BZ69" s="136"/>
      <c r="CA69" s="137"/>
      <c r="CB69" s="136"/>
      <c r="CC69" s="136"/>
      <c r="CD69" s="136"/>
      <c r="CE69" s="137"/>
      <c r="CF69" s="136"/>
      <c r="CG69" s="136"/>
      <c r="CH69" s="136"/>
      <c r="CI69" s="137"/>
      <c r="CJ69" s="136"/>
      <c r="CK69" s="136"/>
      <c r="CL69" s="136"/>
      <c r="CM69" s="137"/>
      <c r="CN69" s="136"/>
      <c r="CO69" s="136"/>
      <c r="CP69" s="136"/>
      <c r="CQ69" s="137"/>
      <c r="CR69" s="136"/>
      <c r="CS69" s="136"/>
      <c r="CT69" s="136"/>
      <c r="CU69" s="137"/>
      <c r="CV69" s="136"/>
      <c r="CW69" s="136"/>
      <c r="CX69" s="136"/>
      <c r="CY69" s="137"/>
    </row>
    <row r="70" spans="1:103" x14ac:dyDescent="0.25">
      <c r="A70" s="108" t="s">
        <v>303</v>
      </c>
      <c r="B70" s="109" t="s">
        <v>304</v>
      </c>
      <c r="C70" s="109" t="s">
        <v>305</v>
      </c>
      <c r="D70" s="124">
        <v>0</v>
      </c>
      <c r="E70" s="173">
        <v>45775</v>
      </c>
      <c r="F70" s="174">
        <v>45796</v>
      </c>
      <c r="H70" s="136"/>
      <c r="I70" s="136"/>
      <c r="J70" s="136"/>
      <c r="K70" s="137"/>
      <c r="L70" s="136"/>
      <c r="M70" s="136"/>
      <c r="N70" s="136"/>
      <c r="O70" s="137"/>
      <c r="P70" s="136"/>
      <c r="Q70" s="136"/>
      <c r="R70" s="136"/>
      <c r="S70" s="137"/>
      <c r="T70" s="136"/>
      <c r="U70" s="136"/>
      <c r="V70" s="136"/>
      <c r="W70" s="137"/>
      <c r="X70" s="136"/>
      <c r="Y70" s="136"/>
      <c r="Z70" s="136"/>
      <c r="AA70" s="137"/>
      <c r="AB70" s="136"/>
      <c r="AC70" s="136"/>
      <c r="AD70" s="136"/>
      <c r="AE70" s="137"/>
      <c r="AF70" s="136"/>
      <c r="AG70" s="136"/>
      <c r="AH70" s="136"/>
      <c r="AI70" s="153"/>
      <c r="AJ70" s="168"/>
      <c r="AK70" s="168"/>
      <c r="AL70" s="136"/>
      <c r="AM70" s="137"/>
      <c r="AN70" s="136"/>
      <c r="AO70" s="136"/>
      <c r="AP70" s="136"/>
      <c r="AQ70" s="137"/>
      <c r="AR70" s="136"/>
      <c r="AS70" s="136"/>
      <c r="AT70" s="136"/>
      <c r="AU70" s="137"/>
      <c r="AV70" s="136"/>
      <c r="AW70" s="136"/>
      <c r="AX70" s="136"/>
      <c r="AY70" s="137"/>
      <c r="AZ70" s="136"/>
      <c r="BA70" s="136"/>
      <c r="BB70" s="136"/>
      <c r="BC70" s="137"/>
      <c r="BD70" s="136"/>
      <c r="BE70" s="136"/>
      <c r="BF70" s="136"/>
      <c r="BG70" s="137"/>
      <c r="BH70" s="136"/>
      <c r="BI70" s="136"/>
      <c r="BJ70" s="136"/>
      <c r="BK70" s="137"/>
      <c r="BL70" s="136"/>
      <c r="BM70" s="136"/>
      <c r="BN70" s="136"/>
      <c r="BO70" s="137"/>
      <c r="BP70" s="136"/>
      <c r="BQ70" s="136"/>
      <c r="BR70" s="136"/>
      <c r="BS70" s="137"/>
      <c r="BT70" s="136"/>
      <c r="BU70" s="136"/>
      <c r="BV70" s="136"/>
      <c r="BW70" s="137"/>
      <c r="BX70" s="136"/>
      <c r="BY70" s="136"/>
      <c r="BZ70" s="136"/>
      <c r="CA70" s="137"/>
      <c r="CB70" s="136"/>
      <c r="CC70" s="136"/>
      <c r="CD70" s="136"/>
      <c r="CE70" s="137"/>
      <c r="CF70" s="136"/>
      <c r="CG70" s="136"/>
      <c r="CH70" s="136"/>
      <c r="CI70" s="137"/>
      <c r="CJ70" s="136"/>
      <c r="CK70" s="136"/>
      <c r="CL70" s="136"/>
      <c r="CM70" s="137"/>
      <c r="CN70" s="136"/>
      <c r="CO70" s="136"/>
      <c r="CP70" s="136"/>
      <c r="CQ70" s="137"/>
      <c r="CR70" s="136"/>
      <c r="CS70" s="136"/>
      <c r="CT70" s="136"/>
      <c r="CU70" s="137"/>
      <c r="CV70" s="136"/>
      <c r="CW70" s="136"/>
      <c r="CX70" s="136"/>
      <c r="CY70" s="137"/>
    </row>
    <row r="71" spans="1:103" x14ac:dyDescent="0.25">
      <c r="A71" s="108" t="s">
        <v>306</v>
      </c>
      <c r="B71" s="109" t="s">
        <v>307</v>
      </c>
      <c r="C71" s="109" t="s">
        <v>305</v>
      </c>
      <c r="D71" s="124">
        <v>0</v>
      </c>
      <c r="E71" s="173">
        <v>45789</v>
      </c>
      <c r="F71" s="174">
        <v>45796</v>
      </c>
      <c r="H71" s="136"/>
      <c r="I71" s="136"/>
      <c r="J71" s="136"/>
      <c r="K71" s="137"/>
      <c r="L71" s="136"/>
      <c r="M71" s="136"/>
      <c r="N71" s="136"/>
      <c r="O71" s="137"/>
      <c r="P71" s="136"/>
      <c r="Q71" s="136"/>
      <c r="R71" s="136"/>
      <c r="S71" s="137"/>
      <c r="T71" s="136"/>
      <c r="U71" s="136"/>
      <c r="V71" s="136"/>
      <c r="W71" s="137"/>
      <c r="X71" s="136"/>
      <c r="Y71" s="136"/>
      <c r="Z71" s="136"/>
      <c r="AA71" s="137"/>
      <c r="AB71" s="136"/>
      <c r="AC71" s="136"/>
      <c r="AD71" s="136"/>
      <c r="AE71" s="137"/>
      <c r="AF71" s="136"/>
      <c r="AG71" s="136"/>
      <c r="AH71" s="136"/>
      <c r="AI71" s="137"/>
      <c r="AK71" s="168"/>
      <c r="AL71" s="168"/>
      <c r="AM71" s="137"/>
      <c r="AN71" s="136"/>
      <c r="AO71" s="136"/>
      <c r="AP71" s="136"/>
      <c r="AQ71" s="137"/>
      <c r="AR71" s="136"/>
      <c r="AS71" s="136"/>
      <c r="AT71" s="136"/>
      <c r="AU71" s="137"/>
      <c r="AV71" s="136"/>
      <c r="AW71" s="136"/>
      <c r="AX71" s="136"/>
      <c r="AY71" s="137"/>
      <c r="AZ71" s="136"/>
      <c r="BA71" s="136"/>
      <c r="BB71" s="136"/>
      <c r="BC71" s="137"/>
      <c r="BD71" s="136"/>
      <c r="BE71" s="136"/>
      <c r="BF71" s="136"/>
      <c r="BG71" s="137"/>
      <c r="BH71" s="136"/>
      <c r="BI71" s="136"/>
      <c r="BJ71" s="136"/>
      <c r="BK71" s="137"/>
      <c r="BL71" s="136"/>
      <c r="BM71" s="136"/>
      <c r="BN71" s="136"/>
      <c r="BO71" s="137"/>
      <c r="BP71" s="136"/>
      <c r="BQ71" s="136"/>
      <c r="BR71" s="136"/>
      <c r="BS71" s="137"/>
      <c r="BT71" s="136"/>
      <c r="BU71" s="136"/>
      <c r="BV71" s="136"/>
      <c r="BW71" s="137"/>
      <c r="BX71" s="136"/>
      <c r="BY71" s="136"/>
      <c r="BZ71" s="136"/>
      <c r="CA71" s="137"/>
      <c r="CB71" s="136"/>
      <c r="CC71" s="136"/>
      <c r="CD71" s="136"/>
      <c r="CE71" s="137"/>
      <c r="CF71" s="136"/>
      <c r="CG71" s="136"/>
      <c r="CH71" s="136"/>
      <c r="CI71" s="137"/>
      <c r="CJ71" s="136"/>
      <c r="CK71" s="136"/>
      <c r="CL71" s="136"/>
      <c r="CM71" s="137"/>
      <c r="CN71" s="136"/>
      <c r="CO71" s="136"/>
      <c r="CP71" s="136"/>
      <c r="CQ71" s="137"/>
      <c r="CR71" s="136"/>
      <c r="CS71" s="136"/>
      <c r="CT71" s="136"/>
      <c r="CU71" s="137"/>
      <c r="CV71" s="136"/>
      <c r="CW71" s="136"/>
      <c r="CX71" s="136"/>
      <c r="CY71" s="137"/>
    </row>
    <row r="72" spans="1:103" x14ac:dyDescent="0.25">
      <c r="A72" s="106" t="s">
        <v>308</v>
      </c>
      <c r="B72" s="107" t="s">
        <v>309</v>
      </c>
      <c r="C72" s="107" t="s">
        <v>305</v>
      </c>
      <c r="D72" s="125">
        <v>0</v>
      </c>
      <c r="E72" s="175">
        <v>45803</v>
      </c>
      <c r="F72" s="176">
        <v>45810</v>
      </c>
      <c r="G72" s="22"/>
      <c r="H72" s="136"/>
      <c r="I72" s="136"/>
      <c r="J72" s="136"/>
      <c r="K72" s="137"/>
      <c r="L72" s="136"/>
      <c r="M72" s="136"/>
      <c r="N72" s="136"/>
      <c r="O72" s="137"/>
      <c r="P72" s="136"/>
      <c r="Q72" s="136"/>
      <c r="R72" s="136"/>
      <c r="S72" s="137"/>
      <c r="T72" s="136"/>
      <c r="U72" s="136"/>
      <c r="V72" s="136"/>
      <c r="W72" s="137"/>
      <c r="X72" s="136"/>
      <c r="Y72" s="136"/>
      <c r="Z72" s="136"/>
      <c r="AA72" s="137"/>
      <c r="AB72" s="136"/>
      <c r="AC72" s="136"/>
      <c r="AD72" s="136"/>
      <c r="AE72" s="137"/>
      <c r="AF72" s="136"/>
      <c r="AG72" s="136"/>
      <c r="AH72" s="136"/>
      <c r="AI72" s="137"/>
      <c r="AJ72" s="136"/>
      <c r="AK72" s="136"/>
      <c r="AL72" s="136"/>
      <c r="AM72" s="153"/>
      <c r="AN72" s="136"/>
      <c r="AO72" s="136"/>
      <c r="AP72" s="136"/>
      <c r="AQ72" s="137"/>
      <c r="AR72" s="136"/>
      <c r="AS72" s="136"/>
      <c r="AT72" s="136"/>
      <c r="AU72" s="137"/>
      <c r="AV72" s="136"/>
      <c r="AW72" s="136"/>
      <c r="AX72" s="136"/>
      <c r="AY72" s="137"/>
      <c r="AZ72" s="136"/>
      <c r="BA72" s="136"/>
      <c r="BB72" s="136"/>
      <c r="BC72" s="137"/>
      <c r="BD72" s="136"/>
      <c r="BE72" s="136"/>
      <c r="BF72" s="136"/>
      <c r="BG72" s="137"/>
      <c r="BH72" s="136"/>
      <c r="BI72" s="136"/>
      <c r="BJ72" s="136"/>
      <c r="BK72" s="137"/>
      <c r="BL72" s="136"/>
      <c r="BM72" s="136"/>
      <c r="BN72" s="136"/>
      <c r="BO72" s="137"/>
      <c r="BP72" s="136"/>
      <c r="BQ72" s="136"/>
      <c r="BR72" s="136"/>
      <c r="BS72" s="137"/>
      <c r="BT72" s="136"/>
      <c r="BU72" s="136"/>
      <c r="BV72" s="136"/>
      <c r="BW72" s="137"/>
      <c r="BX72" s="136"/>
      <c r="BY72" s="136"/>
      <c r="BZ72" s="136"/>
      <c r="CA72" s="137"/>
      <c r="CB72" s="136"/>
      <c r="CC72" s="136"/>
      <c r="CD72" s="136"/>
      <c r="CE72" s="137"/>
      <c r="CF72" s="136"/>
      <c r="CG72" s="136"/>
      <c r="CH72" s="136"/>
      <c r="CI72" s="137"/>
      <c r="CJ72" s="136"/>
      <c r="CK72" s="136"/>
      <c r="CL72" s="136"/>
      <c r="CM72" s="137"/>
      <c r="CN72" s="136"/>
      <c r="CO72" s="136"/>
      <c r="CP72" s="136"/>
      <c r="CQ72" s="137"/>
      <c r="CR72" s="136"/>
      <c r="CS72" s="136"/>
      <c r="CT72" s="136"/>
      <c r="CU72" s="137"/>
      <c r="CV72" s="136"/>
      <c r="CW72" s="136"/>
      <c r="CX72" s="136"/>
      <c r="CY72" s="137"/>
    </row>
    <row r="73" spans="1:103" x14ac:dyDescent="0.25">
      <c r="A73" s="110" t="s">
        <v>310</v>
      </c>
      <c r="B73" s="111" t="s">
        <v>311</v>
      </c>
      <c r="C73" s="111" t="s">
        <v>312</v>
      </c>
      <c r="D73" s="126">
        <v>0</v>
      </c>
      <c r="E73" s="177">
        <v>45811</v>
      </c>
      <c r="F73" s="178">
        <v>45832</v>
      </c>
      <c r="H73" s="138"/>
      <c r="I73" s="138"/>
      <c r="J73" s="138"/>
      <c r="K73" s="143"/>
      <c r="L73" s="138"/>
      <c r="M73" s="138"/>
      <c r="N73" s="138"/>
      <c r="O73" s="143"/>
      <c r="P73" s="138"/>
      <c r="Q73" s="138"/>
      <c r="R73" s="138"/>
      <c r="S73" s="143"/>
      <c r="T73" s="138"/>
      <c r="U73" s="138"/>
      <c r="V73" s="138"/>
      <c r="W73" s="143"/>
      <c r="X73" s="138"/>
      <c r="Y73" s="138"/>
      <c r="Z73" s="138"/>
      <c r="AA73" s="143"/>
      <c r="AB73" s="138"/>
      <c r="AC73" s="138"/>
      <c r="AD73" s="138"/>
      <c r="AE73" s="143"/>
      <c r="AF73" s="138"/>
      <c r="AG73" s="138"/>
      <c r="AH73" s="138"/>
      <c r="AI73" s="143"/>
      <c r="AJ73" s="138"/>
      <c r="AK73" s="138"/>
      <c r="AL73" s="138"/>
      <c r="AM73" s="143"/>
      <c r="AN73" s="172"/>
      <c r="AO73" s="172"/>
      <c r="AP73" s="172"/>
      <c r="AQ73" s="143"/>
      <c r="AR73" s="138"/>
      <c r="AS73" s="138"/>
      <c r="AT73" s="138"/>
      <c r="AU73" s="143"/>
      <c r="AV73" s="138"/>
      <c r="AW73" s="138"/>
      <c r="AX73" s="138"/>
      <c r="AY73" s="143"/>
      <c r="AZ73" s="138"/>
      <c r="BA73" s="138"/>
      <c r="BB73" s="138"/>
      <c r="BC73" s="143"/>
      <c r="BD73" s="138"/>
      <c r="BE73" s="138"/>
      <c r="BF73" s="138"/>
      <c r="BG73" s="143"/>
      <c r="BH73" s="138"/>
      <c r="BI73" s="138"/>
      <c r="BJ73" s="138"/>
      <c r="BK73" s="143"/>
      <c r="BL73" s="138"/>
      <c r="BM73" s="138"/>
      <c r="BN73" s="138"/>
      <c r="BO73" s="143"/>
      <c r="BP73" s="138"/>
      <c r="BQ73" s="138"/>
      <c r="BR73" s="138"/>
      <c r="BS73" s="143"/>
      <c r="BT73" s="138"/>
      <c r="BU73" s="138"/>
      <c r="BV73" s="138"/>
      <c r="BW73" s="143"/>
      <c r="BX73" s="138"/>
      <c r="BY73" s="138"/>
      <c r="BZ73" s="138"/>
      <c r="CA73" s="143"/>
      <c r="CB73" s="138"/>
      <c r="CC73" s="138"/>
      <c r="CD73" s="138"/>
      <c r="CE73" s="143"/>
      <c r="CF73" s="138"/>
      <c r="CG73" s="138"/>
      <c r="CH73" s="138"/>
      <c r="CI73" s="143"/>
      <c r="CJ73" s="138"/>
      <c r="CK73" s="138"/>
      <c r="CL73" s="138"/>
      <c r="CM73" s="143"/>
      <c r="CN73" s="138"/>
      <c r="CO73" s="138"/>
      <c r="CP73" s="138"/>
      <c r="CQ73" s="143"/>
      <c r="CR73" s="138"/>
      <c r="CS73" s="138"/>
      <c r="CT73" s="138"/>
      <c r="CU73" s="143"/>
      <c r="CV73" s="138"/>
      <c r="CW73" s="138"/>
      <c r="CX73" s="138"/>
      <c r="CY73" s="143"/>
    </row>
    <row r="74" spans="1:103" x14ac:dyDescent="0.25">
      <c r="A74" s="213" t="s">
        <v>313</v>
      </c>
      <c r="B74" s="109" t="s">
        <v>314</v>
      </c>
      <c r="C74" s="109"/>
      <c r="D74" s="246" t="s">
        <v>242</v>
      </c>
      <c r="E74" s="173"/>
      <c r="F74" s="174">
        <v>45833</v>
      </c>
      <c r="H74" s="136"/>
      <c r="I74" s="136"/>
      <c r="J74" s="136"/>
      <c r="K74" s="137"/>
      <c r="L74" s="136"/>
      <c r="M74" s="136"/>
      <c r="N74" s="136"/>
      <c r="O74" s="137"/>
      <c r="P74" s="136"/>
      <c r="Q74" s="136"/>
      <c r="R74" s="136"/>
      <c r="S74" s="137"/>
      <c r="T74" s="136"/>
      <c r="U74" s="136"/>
      <c r="V74" s="136"/>
      <c r="W74" s="137"/>
      <c r="X74" s="136"/>
      <c r="Y74" s="136"/>
      <c r="Z74" s="136"/>
      <c r="AA74" s="137"/>
      <c r="AB74" s="136"/>
      <c r="AC74" s="136"/>
      <c r="AD74" s="136"/>
      <c r="AE74" s="137"/>
      <c r="AF74" s="136"/>
      <c r="AG74" s="136"/>
      <c r="AH74" s="136"/>
      <c r="AI74" s="137"/>
      <c r="AJ74" s="136"/>
      <c r="AK74" s="136"/>
      <c r="AL74" s="136"/>
      <c r="AM74" s="137"/>
      <c r="AN74" s="136"/>
      <c r="AO74" s="136"/>
      <c r="AP74" s="136"/>
      <c r="AQ74" s="143" t="s">
        <v>174</v>
      </c>
      <c r="AR74" s="136"/>
      <c r="AS74" s="136"/>
      <c r="AT74" s="136"/>
      <c r="AU74" s="137"/>
      <c r="AV74" s="136"/>
      <c r="AW74" s="136"/>
      <c r="AX74" s="136"/>
      <c r="AY74" s="137"/>
      <c r="AZ74" s="136"/>
      <c r="BA74" s="136"/>
      <c r="BB74" s="136"/>
      <c r="BC74" s="137"/>
      <c r="BD74" s="136"/>
      <c r="BE74" s="136"/>
      <c r="BF74" s="136"/>
      <c r="BG74" s="137"/>
      <c r="BH74" s="136"/>
      <c r="BI74" s="136"/>
      <c r="BJ74" s="136"/>
      <c r="BK74" s="137"/>
      <c r="BL74" s="136"/>
      <c r="BM74" s="136"/>
      <c r="BN74" s="136"/>
      <c r="BO74" s="137"/>
      <c r="BP74" s="136"/>
      <c r="BQ74" s="136"/>
      <c r="BR74" s="136"/>
      <c r="BS74" s="137"/>
      <c r="BT74" s="136"/>
      <c r="BU74" s="136"/>
      <c r="BV74" s="136"/>
      <c r="BW74" s="137"/>
      <c r="BX74" s="136"/>
      <c r="BY74" s="136"/>
      <c r="BZ74" s="136"/>
      <c r="CA74" s="137"/>
      <c r="CB74" s="136"/>
      <c r="CC74" s="136"/>
      <c r="CD74" s="136"/>
      <c r="CE74" s="137"/>
      <c r="CF74" s="136"/>
      <c r="CG74" s="136"/>
      <c r="CH74" s="136"/>
      <c r="CI74" s="137"/>
      <c r="CJ74" s="136"/>
      <c r="CK74" s="136"/>
      <c r="CL74" s="136"/>
      <c r="CM74" s="137"/>
      <c r="CN74" s="136"/>
      <c r="CO74" s="136"/>
      <c r="CP74" s="136"/>
      <c r="CQ74" s="137"/>
      <c r="CR74" s="136"/>
      <c r="CS74" s="136"/>
      <c r="CT74" s="136"/>
      <c r="CU74" s="137"/>
      <c r="CV74" s="136"/>
      <c r="CW74" s="136"/>
      <c r="CX74" s="136"/>
      <c r="CY74" s="137"/>
    </row>
    <row r="75" spans="1:103" ht="15.75" x14ac:dyDescent="0.25">
      <c r="A75" s="96"/>
      <c r="B75" s="97" t="s">
        <v>315</v>
      </c>
      <c r="C75" s="96"/>
      <c r="D75" s="96"/>
      <c r="E75" s="96"/>
      <c r="F75" s="96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354"/>
      <c r="AB75" s="354"/>
      <c r="AC75" s="354"/>
      <c r="AD75" s="354"/>
      <c r="AE75" s="354"/>
      <c r="AF75" s="354"/>
      <c r="AG75" s="354"/>
      <c r="AH75" s="354"/>
      <c r="AI75" s="354"/>
      <c r="AJ75" s="354"/>
      <c r="AK75" s="354"/>
      <c r="AL75" s="354"/>
      <c r="AM75" s="354"/>
      <c r="AN75" s="354"/>
      <c r="AO75" s="354"/>
      <c r="AP75" s="354"/>
      <c r="AQ75" s="354"/>
      <c r="AR75" s="354"/>
      <c r="AS75" s="354"/>
      <c r="AT75" s="354"/>
      <c r="AU75" s="354"/>
      <c r="AV75" s="354"/>
      <c r="AW75" s="354"/>
      <c r="AX75" s="354"/>
      <c r="AY75" s="354"/>
      <c r="AZ75" s="354"/>
      <c r="BA75" s="354"/>
      <c r="BB75" s="354"/>
      <c r="BC75" s="354"/>
      <c r="BD75" s="354"/>
      <c r="BE75" s="354"/>
      <c r="BF75" s="354"/>
      <c r="BG75" s="354"/>
      <c r="BH75" s="354"/>
      <c r="BI75" s="354"/>
      <c r="BJ75" s="354"/>
      <c r="BK75" s="354"/>
      <c r="BL75" s="354"/>
      <c r="BM75" s="354"/>
      <c r="BN75" s="354"/>
      <c r="BO75" s="354"/>
      <c r="BP75" s="354"/>
      <c r="BQ75" s="354"/>
      <c r="BR75" s="354"/>
      <c r="BS75" s="354"/>
      <c r="BT75" s="354"/>
      <c r="BU75" s="354"/>
      <c r="BV75" s="354"/>
      <c r="BW75" s="354"/>
      <c r="BX75" s="354"/>
      <c r="BY75" s="354"/>
      <c r="BZ75" s="354"/>
      <c r="CA75" s="354"/>
      <c r="CB75" s="354"/>
      <c r="CC75" s="354"/>
      <c r="CD75" s="354"/>
      <c r="CE75" s="354"/>
      <c r="CF75" s="354"/>
      <c r="CG75" s="354"/>
      <c r="CH75" s="354"/>
      <c r="CI75" s="354"/>
      <c r="CJ75" s="354"/>
      <c r="CK75" s="354"/>
      <c r="CL75" s="354"/>
      <c r="CM75" s="354"/>
      <c r="CN75" s="354"/>
      <c r="CO75" s="354"/>
      <c r="CP75" s="354"/>
      <c r="CQ75" s="354"/>
      <c r="CR75" s="354"/>
      <c r="CS75" s="354"/>
      <c r="CT75" s="354"/>
      <c r="CU75" s="354"/>
      <c r="CV75" s="354"/>
      <c r="CW75" s="354"/>
      <c r="CX75" s="354"/>
      <c r="CY75" s="355"/>
    </row>
    <row r="76" spans="1:103" x14ac:dyDescent="0.25">
      <c r="A76" s="112" t="s">
        <v>316</v>
      </c>
      <c r="B76" s="113" t="s">
        <v>317</v>
      </c>
      <c r="C76" s="113" t="s">
        <v>318</v>
      </c>
      <c r="D76" s="127">
        <v>0</v>
      </c>
      <c r="E76" s="179">
        <v>45838</v>
      </c>
      <c r="F76" s="180">
        <v>45845</v>
      </c>
      <c r="H76" s="133"/>
      <c r="I76" s="133"/>
      <c r="J76" s="133"/>
      <c r="K76" s="134"/>
      <c r="L76" s="133"/>
      <c r="M76" s="133"/>
      <c r="N76" s="133"/>
      <c r="O76" s="134"/>
      <c r="P76" s="133"/>
      <c r="Q76" s="133"/>
      <c r="R76" s="133"/>
      <c r="S76" s="134"/>
      <c r="T76" s="133"/>
      <c r="U76" s="133"/>
      <c r="V76" s="133"/>
      <c r="W76" s="134"/>
      <c r="X76" s="133"/>
      <c r="Y76" s="133"/>
      <c r="Z76" s="133"/>
      <c r="AA76" s="134"/>
      <c r="AB76" s="133"/>
      <c r="AC76" s="133"/>
      <c r="AD76" s="133"/>
      <c r="AE76" s="134"/>
      <c r="AF76" s="133"/>
      <c r="AG76" s="133"/>
      <c r="AH76" s="133"/>
      <c r="AI76" s="134"/>
      <c r="AJ76" s="133"/>
      <c r="AK76" s="133"/>
      <c r="AL76" s="133"/>
      <c r="AM76" s="134"/>
      <c r="AN76" s="133"/>
      <c r="AO76" s="133"/>
      <c r="AP76" s="133"/>
      <c r="AQ76" s="155"/>
      <c r="AR76" s="133"/>
      <c r="AS76" s="133"/>
      <c r="AT76" s="133"/>
      <c r="AU76" s="134"/>
      <c r="AV76" s="133"/>
      <c r="AW76" s="133"/>
      <c r="AX76" s="133"/>
      <c r="AY76" s="134"/>
      <c r="AZ76" s="133"/>
      <c r="BA76" s="133"/>
      <c r="BB76" s="133"/>
      <c r="BC76" s="134"/>
      <c r="BD76" s="133"/>
      <c r="BE76" s="133"/>
      <c r="BF76" s="133"/>
      <c r="BG76" s="134"/>
      <c r="BH76" s="133"/>
      <c r="BI76" s="133"/>
      <c r="BJ76" s="133"/>
      <c r="BK76" s="134"/>
      <c r="BL76" s="133"/>
      <c r="BM76" s="133"/>
      <c r="BN76" s="133"/>
      <c r="BO76" s="134"/>
      <c r="BP76" s="133"/>
      <c r="BQ76" s="133"/>
      <c r="BR76" s="133"/>
      <c r="BS76" s="134"/>
      <c r="BT76" s="133"/>
      <c r="BU76" s="133"/>
      <c r="BV76" s="133"/>
      <c r="BW76" s="134"/>
      <c r="BX76" s="133"/>
      <c r="BY76" s="133"/>
      <c r="BZ76" s="133"/>
      <c r="CA76" s="134"/>
      <c r="CB76" s="133"/>
      <c r="CC76" s="133"/>
      <c r="CD76" s="133"/>
      <c r="CE76" s="134"/>
      <c r="CF76" s="133"/>
      <c r="CG76" s="133"/>
      <c r="CH76" s="133"/>
      <c r="CI76" s="134"/>
      <c r="CJ76" s="133"/>
      <c r="CK76" s="133"/>
      <c r="CL76" s="133"/>
      <c r="CM76" s="134"/>
      <c r="CN76" s="133"/>
      <c r="CO76" s="133"/>
      <c r="CP76" s="133"/>
      <c r="CQ76" s="134"/>
      <c r="CR76" s="133"/>
      <c r="CS76" s="133"/>
      <c r="CT76" s="133"/>
      <c r="CU76" s="134"/>
      <c r="CV76" s="133"/>
      <c r="CW76" s="133"/>
      <c r="CX76" s="133"/>
      <c r="CY76" s="134"/>
    </row>
    <row r="77" spans="1:103" x14ac:dyDescent="0.25">
      <c r="A77" s="112" t="s">
        <v>319</v>
      </c>
      <c r="B77" s="113" t="s">
        <v>320</v>
      </c>
      <c r="C77" s="113" t="s">
        <v>318</v>
      </c>
      <c r="D77" s="127">
        <v>0</v>
      </c>
      <c r="E77" s="179">
        <v>45846</v>
      </c>
      <c r="F77" s="180">
        <v>45860</v>
      </c>
      <c r="H77" s="136"/>
      <c r="I77" s="136"/>
      <c r="J77" s="136"/>
      <c r="K77" s="137"/>
      <c r="L77" s="136"/>
      <c r="M77" s="136"/>
      <c r="N77" s="136"/>
      <c r="O77" s="137"/>
      <c r="P77" s="136"/>
      <c r="Q77" s="136"/>
      <c r="R77" s="136"/>
      <c r="S77" s="137"/>
      <c r="T77" s="136"/>
      <c r="U77" s="136"/>
      <c r="V77" s="136"/>
      <c r="W77" s="137"/>
      <c r="X77" s="136"/>
      <c r="Y77" s="136"/>
      <c r="Z77" s="136"/>
      <c r="AA77" s="137"/>
      <c r="AB77" s="136"/>
      <c r="AC77" s="136"/>
      <c r="AD77" s="136"/>
      <c r="AE77" s="137"/>
      <c r="AF77" s="136"/>
      <c r="AG77" s="136"/>
      <c r="AH77" s="136"/>
      <c r="AI77" s="137"/>
      <c r="AJ77" s="136"/>
      <c r="AK77" s="136"/>
      <c r="AL77" s="136"/>
      <c r="AM77" s="137"/>
      <c r="AN77" s="136"/>
      <c r="AO77" s="136"/>
      <c r="AP77" s="136"/>
      <c r="AQ77" s="137"/>
      <c r="AR77" s="168"/>
      <c r="AS77" s="168"/>
      <c r="AT77" s="136"/>
      <c r="AU77" s="137"/>
      <c r="AV77" s="136"/>
      <c r="AW77" s="136"/>
      <c r="AX77" s="136"/>
      <c r="AY77" s="137"/>
      <c r="AZ77" s="136"/>
      <c r="BA77" s="136"/>
      <c r="BB77" s="136"/>
      <c r="BC77" s="137"/>
      <c r="BD77" s="136"/>
      <c r="BE77" s="136"/>
      <c r="BF77" s="136"/>
      <c r="BG77" s="137"/>
      <c r="BH77" s="136"/>
      <c r="BI77" s="136"/>
      <c r="BJ77" s="136"/>
      <c r="BK77" s="137"/>
      <c r="BL77" s="136"/>
      <c r="BM77" s="136"/>
      <c r="BN77" s="136"/>
      <c r="BO77" s="137"/>
      <c r="BP77" s="136"/>
      <c r="BQ77" s="136"/>
      <c r="BR77" s="136"/>
      <c r="BS77" s="137"/>
      <c r="BT77" s="136"/>
      <c r="BU77" s="136"/>
      <c r="BV77" s="136"/>
      <c r="BW77" s="137"/>
      <c r="BX77" s="136"/>
      <c r="BY77" s="136"/>
      <c r="BZ77" s="136"/>
      <c r="CA77" s="137"/>
      <c r="CB77" s="136"/>
      <c r="CC77" s="136"/>
      <c r="CD77" s="136"/>
      <c r="CE77" s="137"/>
      <c r="CF77" s="136"/>
      <c r="CG77" s="136"/>
      <c r="CH77" s="136"/>
      <c r="CI77" s="137"/>
      <c r="CJ77" s="136"/>
      <c r="CK77" s="136"/>
      <c r="CL77" s="136"/>
      <c r="CM77" s="137"/>
      <c r="CN77" s="136"/>
      <c r="CO77" s="136"/>
      <c r="CP77" s="136"/>
      <c r="CQ77" s="137"/>
      <c r="CR77" s="136"/>
      <c r="CS77" s="136"/>
      <c r="CT77" s="136"/>
      <c r="CU77" s="137"/>
      <c r="CV77" s="136"/>
      <c r="CW77" s="136"/>
      <c r="CX77" s="136"/>
      <c r="CY77" s="137"/>
    </row>
    <row r="78" spans="1:103" x14ac:dyDescent="0.25">
      <c r="A78" s="214" t="s">
        <v>321</v>
      </c>
      <c r="B78" s="113" t="s">
        <v>322</v>
      </c>
      <c r="C78" s="113"/>
      <c r="D78" s="247" t="s">
        <v>242</v>
      </c>
      <c r="E78" s="179"/>
      <c r="F78" s="180">
        <v>45861</v>
      </c>
      <c r="H78" s="136"/>
      <c r="I78" s="136"/>
      <c r="J78" s="136"/>
      <c r="K78" s="137"/>
      <c r="L78" s="136"/>
      <c r="M78" s="136"/>
      <c r="N78" s="136"/>
      <c r="O78" s="137"/>
      <c r="P78" s="136"/>
      <c r="Q78" s="136"/>
      <c r="R78" s="136"/>
      <c r="S78" s="137"/>
      <c r="T78" s="136"/>
      <c r="U78" s="136"/>
      <c r="V78" s="136"/>
      <c r="W78" s="137"/>
      <c r="X78" s="136"/>
      <c r="Y78" s="136"/>
      <c r="Z78" s="136"/>
      <c r="AA78" s="137"/>
      <c r="AB78" s="136"/>
      <c r="AC78" s="136"/>
      <c r="AD78" s="136"/>
      <c r="AE78" s="137"/>
      <c r="AF78" s="136"/>
      <c r="AG78" s="136"/>
      <c r="AH78" s="136"/>
      <c r="AI78" s="137"/>
      <c r="AJ78" s="136"/>
      <c r="AK78" s="136"/>
      <c r="AL78" s="136"/>
      <c r="AM78" s="137"/>
      <c r="AN78" s="136"/>
      <c r="AO78" s="136"/>
      <c r="AP78" s="136"/>
      <c r="AQ78" s="137"/>
      <c r="AR78" s="136"/>
      <c r="AS78" s="204" t="s">
        <v>174</v>
      </c>
      <c r="AT78" s="136"/>
      <c r="AU78" s="137"/>
      <c r="AV78" s="136"/>
      <c r="AW78" s="136"/>
      <c r="AX78" s="136"/>
      <c r="AY78" s="137"/>
      <c r="AZ78" s="136"/>
      <c r="BA78" s="136"/>
      <c r="BB78" s="136"/>
      <c r="BC78" s="137"/>
      <c r="BD78" s="136"/>
      <c r="BE78" s="136"/>
      <c r="BF78" s="136"/>
      <c r="BG78" s="137"/>
      <c r="BH78" s="136"/>
      <c r="BI78" s="136"/>
      <c r="BJ78" s="136"/>
      <c r="BK78" s="137"/>
      <c r="BL78" s="136"/>
      <c r="BM78" s="136"/>
      <c r="BN78" s="136"/>
      <c r="BO78" s="137"/>
      <c r="BP78" s="136"/>
      <c r="BQ78" s="136"/>
      <c r="BR78" s="136"/>
      <c r="BS78" s="137"/>
      <c r="BT78" s="136"/>
      <c r="BU78" s="136"/>
      <c r="BV78" s="136"/>
      <c r="BW78" s="137"/>
      <c r="BX78" s="136"/>
      <c r="BY78" s="136"/>
      <c r="BZ78" s="136"/>
      <c r="CA78" s="137"/>
      <c r="CB78" s="136"/>
      <c r="CC78" s="136"/>
      <c r="CD78" s="136"/>
      <c r="CE78" s="137"/>
      <c r="CF78" s="136"/>
      <c r="CG78" s="136"/>
      <c r="CH78" s="136"/>
      <c r="CI78" s="137"/>
      <c r="CJ78" s="136"/>
      <c r="CK78" s="136"/>
      <c r="CL78" s="136"/>
      <c r="CM78" s="137"/>
      <c r="CN78" s="136"/>
      <c r="CO78" s="136"/>
      <c r="CP78" s="136"/>
      <c r="CQ78" s="137"/>
      <c r="CR78" s="136"/>
      <c r="CS78" s="136"/>
      <c r="CT78" s="136"/>
      <c r="CU78" s="137"/>
      <c r="CV78" s="136"/>
      <c r="CW78" s="136"/>
      <c r="CX78" s="136"/>
      <c r="CY78" s="137"/>
    </row>
    <row r="79" spans="1:103" x14ac:dyDescent="0.25">
      <c r="A79" s="112" t="s">
        <v>323</v>
      </c>
      <c r="B79" s="113" t="s">
        <v>324</v>
      </c>
      <c r="C79" s="113" t="s">
        <v>318</v>
      </c>
      <c r="D79" s="127">
        <v>0</v>
      </c>
      <c r="E79" s="179">
        <v>45846</v>
      </c>
      <c r="F79" s="180">
        <v>45860</v>
      </c>
      <c r="H79" s="136"/>
      <c r="I79" s="136"/>
      <c r="J79" s="136"/>
      <c r="K79" s="137"/>
      <c r="L79" s="136"/>
      <c r="M79" s="136"/>
      <c r="N79" s="136"/>
      <c r="O79" s="137"/>
      <c r="P79" s="136"/>
      <c r="Q79" s="136"/>
      <c r="R79" s="136"/>
      <c r="S79" s="137"/>
      <c r="T79" s="136"/>
      <c r="U79" s="136"/>
      <c r="V79" s="136"/>
      <c r="W79" s="137"/>
      <c r="X79" s="136"/>
      <c r="Y79" s="136"/>
      <c r="Z79" s="136"/>
      <c r="AA79" s="137"/>
      <c r="AB79" s="136"/>
      <c r="AC79" s="136"/>
      <c r="AD79" s="136"/>
      <c r="AE79" s="137"/>
      <c r="AF79" s="136"/>
      <c r="AG79" s="136"/>
      <c r="AH79" s="136"/>
      <c r="AI79" s="137"/>
      <c r="AJ79" s="136"/>
      <c r="AK79" s="136"/>
      <c r="AL79" s="136"/>
      <c r="AM79" s="137"/>
      <c r="AN79" s="136"/>
      <c r="AO79" s="136"/>
      <c r="AP79" s="136"/>
      <c r="AQ79" s="137"/>
      <c r="AR79" s="168"/>
      <c r="AS79" s="168"/>
      <c r="AT79" s="136"/>
      <c r="AU79" s="137"/>
      <c r="AV79" s="136"/>
      <c r="AW79" s="136"/>
      <c r="AX79" s="136"/>
      <c r="AY79" s="137"/>
      <c r="AZ79" s="136"/>
      <c r="BA79" s="136"/>
      <c r="BB79" s="136"/>
      <c r="BC79" s="137"/>
      <c r="BD79" s="136"/>
      <c r="BE79" s="136"/>
      <c r="BF79" s="136"/>
      <c r="BG79" s="137"/>
      <c r="BH79" s="136"/>
      <c r="BI79" s="136"/>
      <c r="BJ79" s="136"/>
      <c r="BK79" s="137"/>
      <c r="BL79" s="136"/>
      <c r="BM79" s="136"/>
      <c r="BN79" s="136"/>
      <c r="BO79" s="137"/>
      <c r="BP79" s="136"/>
      <c r="BQ79" s="136"/>
      <c r="BR79" s="136"/>
      <c r="BS79" s="137"/>
      <c r="BT79" s="136"/>
      <c r="BU79" s="136"/>
      <c r="BV79" s="136"/>
      <c r="BW79" s="137"/>
      <c r="BX79" s="136"/>
      <c r="BY79" s="136"/>
      <c r="BZ79" s="136"/>
      <c r="CA79" s="137"/>
      <c r="CB79" s="136"/>
      <c r="CC79" s="136"/>
      <c r="CD79" s="136"/>
      <c r="CE79" s="137"/>
      <c r="CF79" s="136"/>
      <c r="CG79" s="136"/>
      <c r="CH79" s="136"/>
      <c r="CI79" s="137"/>
      <c r="CJ79" s="136"/>
      <c r="CK79" s="136"/>
      <c r="CL79" s="136"/>
      <c r="CM79" s="137"/>
      <c r="CN79" s="136"/>
      <c r="CO79" s="136"/>
      <c r="CP79" s="136"/>
      <c r="CQ79" s="137"/>
      <c r="CR79" s="136"/>
      <c r="CS79" s="136"/>
      <c r="CT79" s="136"/>
      <c r="CU79" s="137"/>
      <c r="CV79" s="136"/>
      <c r="CW79" s="136"/>
      <c r="CX79" s="136"/>
      <c r="CY79" s="137"/>
    </row>
    <row r="80" spans="1:103" x14ac:dyDescent="0.25">
      <c r="A80" s="112" t="s">
        <v>325</v>
      </c>
      <c r="B80" s="113" t="s">
        <v>326</v>
      </c>
      <c r="C80" s="113" t="s">
        <v>327</v>
      </c>
      <c r="D80" s="127">
        <v>0</v>
      </c>
      <c r="E80" s="179">
        <v>45838</v>
      </c>
      <c r="F80" s="180">
        <v>45852</v>
      </c>
      <c r="G80" s="22"/>
      <c r="H80" s="136"/>
      <c r="I80" s="136"/>
      <c r="J80" s="136"/>
      <c r="K80" s="137"/>
      <c r="L80" s="136"/>
      <c r="M80" s="136"/>
      <c r="N80" s="136"/>
      <c r="O80" s="137"/>
      <c r="P80" s="136"/>
      <c r="Q80" s="136"/>
      <c r="R80" s="136"/>
      <c r="S80" s="137"/>
      <c r="T80" s="136"/>
      <c r="U80" s="136"/>
      <c r="V80" s="136"/>
      <c r="W80" s="137"/>
      <c r="X80" s="136"/>
      <c r="Y80" s="136"/>
      <c r="Z80" s="136"/>
      <c r="AA80" s="137"/>
      <c r="AB80" s="136"/>
      <c r="AC80" s="136"/>
      <c r="AD80" s="136"/>
      <c r="AE80" s="137"/>
      <c r="AF80" s="136"/>
      <c r="AG80" s="136"/>
      <c r="AH80" s="136"/>
      <c r="AI80" s="137"/>
      <c r="AJ80" s="136"/>
      <c r="AK80" s="136"/>
      <c r="AL80" s="136"/>
      <c r="AM80" s="137"/>
      <c r="AN80" s="136"/>
      <c r="AO80" s="136"/>
      <c r="AP80" s="136"/>
      <c r="AQ80" s="153"/>
      <c r="AR80" s="168"/>
      <c r="AS80" s="136"/>
      <c r="AT80" s="136"/>
      <c r="AU80" s="137"/>
      <c r="AV80" s="136"/>
      <c r="AW80" s="136"/>
      <c r="AX80" s="136"/>
      <c r="AY80" s="137"/>
      <c r="AZ80" s="136"/>
      <c r="BA80" s="136"/>
      <c r="BB80" s="136"/>
      <c r="BC80" s="137"/>
      <c r="BD80" s="136"/>
      <c r="BE80" s="136"/>
      <c r="BF80" s="136"/>
      <c r="BG80" s="137"/>
      <c r="BH80" s="136"/>
      <c r="BI80" s="136"/>
      <c r="BJ80" s="136"/>
      <c r="BK80" s="137"/>
      <c r="BL80" s="136"/>
      <c r="BM80" s="136"/>
      <c r="BN80" s="136"/>
      <c r="BO80" s="137"/>
      <c r="BP80" s="136"/>
      <c r="BQ80" s="136"/>
      <c r="BR80" s="136"/>
      <c r="BS80" s="137"/>
      <c r="BT80" s="136"/>
      <c r="BU80" s="136"/>
      <c r="BV80" s="136"/>
      <c r="BW80" s="137"/>
      <c r="BX80" s="136"/>
      <c r="BY80" s="136"/>
      <c r="BZ80" s="136"/>
      <c r="CA80" s="137"/>
      <c r="CB80" s="136"/>
      <c r="CC80" s="136"/>
      <c r="CD80" s="136"/>
      <c r="CE80" s="137"/>
      <c r="CF80" s="136"/>
      <c r="CG80" s="136"/>
      <c r="CH80" s="136"/>
      <c r="CI80" s="137"/>
      <c r="CJ80" s="136"/>
      <c r="CK80" s="136"/>
      <c r="CL80" s="136"/>
      <c r="CM80" s="137"/>
      <c r="CN80" s="136"/>
      <c r="CO80" s="136"/>
      <c r="CP80" s="136"/>
      <c r="CQ80" s="137"/>
      <c r="CR80" s="136"/>
      <c r="CS80" s="136"/>
      <c r="CT80" s="136"/>
      <c r="CU80" s="137"/>
      <c r="CV80" s="136"/>
      <c r="CW80" s="136"/>
      <c r="CX80" s="136"/>
      <c r="CY80" s="137"/>
    </row>
    <row r="81" spans="1:103" x14ac:dyDescent="0.25">
      <c r="A81" s="214" t="s">
        <v>328</v>
      </c>
      <c r="B81" s="113" t="s">
        <v>329</v>
      </c>
      <c r="C81" s="113"/>
      <c r="D81" s="247" t="s">
        <v>242</v>
      </c>
      <c r="E81" s="179"/>
      <c r="F81" s="180">
        <v>45853</v>
      </c>
      <c r="H81" s="136"/>
      <c r="I81" s="136"/>
      <c r="J81" s="136"/>
      <c r="K81" s="137"/>
      <c r="L81" s="136"/>
      <c r="M81" s="136"/>
      <c r="N81" s="136"/>
      <c r="O81" s="137"/>
      <c r="P81" s="136"/>
      <c r="Q81" s="136"/>
      <c r="R81" s="136"/>
      <c r="S81" s="137"/>
      <c r="T81" s="136"/>
      <c r="U81" s="136"/>
      <c r="V81" s="136"/>
      <c r="W81" s="137"/>
      <c r="X81" s="136"/>
      <c r="Y81" s="136"/>
      <c r="Z81" s="136"/>
      <c r="AA81" s="137"/>
      <c r="AB81" s="136"/>
      <c r="AC81" s="136"/>
      <c r="AD81" s="136"/>
      <c r="AE81" s="137"/>
      <c r="AF81" s="136"/>
      <c r="AG81" s="136"/>
      <c r="AH81" s="136"/>
      <c r="AI81" s="137"/>
      <c r="AJ81" s="136"/>
      <c r="AK81" s="136"/>
      <c r="AL81" s="136"/>
      <c r="AM81" s="137"/>
      <c r="AN81" s="136"/>
      <c r="AO81" s="136"/>
      <c r="AP81" s="136"/>
      <c r="AQ81" s="137"/>
      <c r="AR81" s="136"/>
      <c r="AS81" s="204" t="s">
        <v>174</v>
      </c>
      <c r="AT81" s="136"/>
      <c r="AU81" s="137"/>
      <c r="AV81" s="136"/>
      <c r="AW81" s="136"/>
      <c r="AX81" s="136"/>
      <c r="AY81" s="137"/>
      <c r="AZ81" s="136"/>
      <c r="BA81" s="136"/>
      <c r="BB81" s="136"/>
      <c r="BC81" s="137"/>
      <c r="BD81" s="136"/>
      <c r="BE81" s="136"/>
      <c r="BF81" s="136"/>
      <c r="BG81" s="137"/>
      <c r="BH81" s="136"/>
      <c r="BI81" s="136"/>
      <c r="BJ81" s="136"/>
      <c r="BK81" s="137"/>
      <c r="BL81" s="136"/>
      <c r="BM81" s="136"/>
      <c r="BN81" s="136"/>
      <c r="BO81" s="137"/>
      <c r="BP81" s="136"/>
      <c r="BQ81" s="136"/>
      <c r="BR81" s="136"/>
      <c r="BS81" s="137"/>
      <c r="BT81" s="136"/>
      <c r="BU81" s="136"/>
      <c r="BV81" s="136"/>
      <c r="BW81" s="137"/>
      <c r="BX81" s="136"/>
      <c r="BY81" s="136"/>
      <c r="BZ81" s="136"/>
      <c r="CA81" s="137"/>
      <c r="CB81" s="136"/>
      <c r="CC81" s="136"/>
      <c r="CD81" s="136"/>
      <c r="CE81" s="137"/>
      <c r="CF81" s="136"/>
      <c r="CG81" s="136"/>
      <c r="CH81" s="136"/>
      <c r="CI81" s="137"/>
      <c r="CJ81" s="136"/>
      <c r="CK81" s="136"/>
      <c r="CL81" s="136"/>
      <c r="CM81" s="137"/>
      <c r="CN81" s="136"/>
      <c r="CO81" s="136"/>
      <c r="CP81" s="136"/>
      <c r="CQ81" s="137"/>
      <c r="CR81" s="136"/>
      <c r="CS81" s="136"/>
      <c r="CT81" s="136"/>
      <c r="CU81" s="137"/>
      <c r="CV81" s="136"/>
      <c r="CW81" s="136"/>
      <c r="CX81" s="136"/>
      <c r="CY81" s="137"/>
    </row>
    <row r="82" spans="1:103" x14ac:dyDescent="0.25">
      <c r="A82" s="90" t="s">
        <v>330</v>
      </c>
      <c r="B82" s="91" t="s">
        <v>331</v>
      </c>
      <c r="C82" s="91" t="s">
        <v>332</v>
      </c>
      <c r="D82" s="128">
        <v>0</v>
      </c>
      <c r="E82" s="181">
        <v>45866</v>
      </c>
      <c r="F82" s="182">
        <v>45880</v>
      </c>
      <c r="H82" s="138"/>
      <c r="I82" s="138"/>
      <c r="J82" s="138"/>
      <c r="K82" s="143"/>
      <c r="L82" s="138"/>
      <c r="M82" s="138"/>
      <c r="N82" s="138"/>
      <c r="O82" s="143"/>
      <c r="P82" s="138"/>
      <c r="Q82" s="138"/>
      <c r="R82" s="138"/>
      <c r="S82" s="143"/>
      <c r="T82" s="138"/>
      <c r="U82" s="138"/>
      <c r="V82" s="138"/>
      <c r="W82" s="143"/>
      <c r="X82" s="138"/>
      <c r="Y82" s="138"/>
      <c r="Z82" s="138"/>
      <c r="AA82" s="143"/>
      <c r="AB82" s="138"/>
      <c r="AC82" s="138"/>
      <c r="AD82" s="138"/>
      <c r="AE82" s="143"/>
      <c r="AF82" s="138"/>
      <c r="AG82" s="138"/>
      <c r="AH82" s="138"/>
      <c r="AI82" s="143"/>
      <c r="AJ82" s="138"/>
      <c r="AK82" s="138"/>
      <c r="AL82" s="138"/>
      <c r="AM82" s="143"/>
      <c r="AN82" s="138"/>
      <c r="AO82" s="138"/>
      <c r="AP82" s="138"/>
      <c r="AQ82" s="143"/>
      <c r="AR82" s="138"/>
      <c r="AS82" s="138"/>
      <c r="AT82" s="172"/>
      <c r="AU82" s="170"/>
      <c r="AV82" s="138"/>
      <c r="AW82" s="138"/>
      <c r="AX82" s="138"/>
      <c r="AY82" s="143"/>
      <c r="AZ82" s="138"/>
      <c r="BA82" s="138"/>
      <c r="BB82" s="138"/>
      <c r="BC82" s="143"/>
      <c r="BD82" s="138"/>
      <c r="BE82" s="138"/>
      <c r="BF82" s="138"/>
      <c r="BG82" s="143"/>
      <c r="BH82" s="138"/>
      <c r="BI82" s="138"/>
      <c r="BJ82" s="138"/>
      <c r="BK82" s="143"/>
      <c r="BL82" s="138"/>
      <c r="BM82" s="138"/>
      <c r="BN82" s="138"/>
      <c r="BO82" s="143"/>
      <c r="BP82" s="138"/>
      <c r="BQ82" s="138"/>
      <c r="BR82" s="138"/>
      <c r="BS82" s="143"/>
      <c r="BT82" s="138"/>
      <c r="BU82" s="138"/>
      <c r="BV82" s="138"/>
      <c r="BW82" s="143"/>
      <c r="BX82" s="138"/>
      <c r="BY82" s="138"/>
      <c r="BZ82" s="138"/>
      <c r="CA82" s="143"/>
      <c r="CB82" s="138"/>
      <c r="CC82" s="138"/>
      <c r="CD82" s="138"/>
      <c r="CE82" s="143"/>
      <c r="CF82" s="138"/>
      <c r="CG82" s="138"/>
      <c r="CH82" s="138"/>
      <c r="CI82" s="143"/>
      <c r="CJ82" s="138"/>
      <c r="CK82" s="138"/>
      <c r="CL82" s="138"/>
      <c r="CM82" s="143"/>
      <c r="CN82" s="138"/>
      <c r="CO82" s="138"/>
      <c r="CP82" s="138"/>
      <c r="CQ82" s="143"/>
      <c r="CR82" s="138"/>
      <c r="CS82" s="138"/>
      <c r="CT82" s="138"/>
      <c r="CU82" s="143"/>
      <c r="CV82" s="138"/>
      <c r="CW82" s="138"/>
      <c r="CX82" s="138"/>
      <c r="CY82" s="143"/>
    </row>
    <row r="83" spans="1:103" x14ac:dyDescent="0.25">
      <c r="A83" s="214" t="s">
        <v>333</v>
      </c>
      <c r="B83" s="113" t="s">
        <v>334</v>
      </c>
      <c r="C83" s="113"/>
      <c r="D83" s="247" t="s">
        <v>242</v>
      </c>
      <c r="E83" s="179"/>
      <c r="F83" s="180">
        <v>45881</v>
      </c>
      <c r="H83" s="136"/>
      <c r="I83" s="136"/>
      <c r="J83" s="136"/>
      <c r="K83" s="137"/>
      <c r="L83" s="136"/>
      <c r="M83" s="136"/>
      <c r="N83" s="136"/>
      <c r="O83" s="137"/>
      <c r="P83" s="136"/>
      <c r="Q83" s="136"/>
      <c r="R83" s="136"/>
      <c r="S83" s="137"/>
      <c r="T83" s="136"/>
      <c r="U83" s="136"/>
      <c r="V83" s="136"/>
      <c r="W83" s="137"/>
      <c r="X83" s="136"/>
      <c r="Y83" s="136"/>
      <c r="Z83" s="136"/>
      <c r="AA83" s="137"/>
      <c r="AB83" s="136"/>
      <c r="AC83" s="136"/>
      <c r="AD83" s="136"/>
      <c r="AE83" s="137"/>
      <c r="AF83" s="136"/>
      <c r="AG83" s="136"/>
      <c r="AH83" s="136"/>
      <c r="AI83" s="137"/>
      <c r="AJ83" s="136"/>
      <c r="AK83" s="136"/>
      <c r="AL83" s="136"/>
      <c r="AM83" s="137"/>
      <c r="AN83" s="136"/>
      <c r="AO83" s="136"/>
      <c r="AP83" s="136"/>
      <c r="AQ83" s="137"/>
      <c r="AR83" s="136"/>
      <c r="AS83" s="136"/>
      <c r="AT83" s="136"/>
      <c r="AU83" s="137"/>
      <c r="AV83" s="136" t="s">
        <v>174</v>
      </c>
      <c r="AW83" s="136"/>
      <c r="AX83" s="136"/>
      <c r="AY83" s="137"/>
      <c r="AZ83" s="136"/>
      <c r="BA83" s="136"/>
      <c r="BB83" s="136"/>
      <c r="BC83" s="137"/>
      <c r="BD83" s="136"/>
      <c r="BE83" s="136"/>
      <c r="BF83" s="136"/>
      <c r="BG83" s="137"/>
      <c r="BH83" s="136"/>
      <c r="BI83" s="136"/>
      <c r="BJ83" s="136"/>
      <c r="BK83" s="137"/>
      <c r="BL83" s="136"/>
      <c r="BM83" s="136"/>
      <c r="BN83" s="136"/>
      <c r="BO83" s="137"/>
      <c r="BP83" s="136"/>
      <c r="BQ83" s="136"/>
      <c r="BR83" s="136"/>
      <c r="BS83" s="137"/>
      <c r="BT83" s="136"/>
      <c r="BU83" s="136"/>
      <c r="BV83" s="136"/>
      <c r="BW83" s="137"/>
      <c r="BX83" s="136"/>
      <c r="BY83" s="136"/>
      <c r="BZ83" s="136"/>
      <c r="CA83" s="137"/>
      <c r="CB83" s="136"/>
      <c r="CC83" s="136"/>
      <c r="CD83" s="136"/>
      <c r="CE83" s="137"/>
      <c r="CF83" s="136"/>
      <c r="CG83" s="136"/>
      <c r="CH83" s="136"/>
      <c r="CI83" s="137"/>
      <c r="CJ83" s="136"/>
      <c r="CK83" s="136"/>
      <c r="CL83" s="136"/>
      <c r="CM83" s="137"/>
      <c r="CN83" s="136"/>
      <c r="CO83" s="136"/>
      <c r="CP83" s="136"/>
      <c r="CQ83" s="137"/>
      <c r="CR83" s="136"/>
      <c r="CS83" s="136"/>
      <c r="CT83" s="136"/>
      <c r="CU83" s="137"/>
      <c r="CV83" s="136"/>
      <c r="CW83" s="136"/>
      <c r="CX83" s="136"/>
      <c r="CY83" s="137"/>
    </row>
    <row r="84" spans="1:103" ht="15.75" x14ac:dyDescent="0.25">
      <c r="A84" s="92"/>
      <c r="B84" s="93" t="s">
        <v>335</v>
      </c>
      <c r="C84" s="92"/>
      <c r="D84" s="92"/>
      <c r="E84" s="92"/>
      <c r="F84" s="92"/>
      <c r="G84" s="354"/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  <c r="AA84" s="354"/>
      <c r="AB84" s="354"/>
      <c r="AC84" s="354"/>
      <c r="AD84" s="354"/>
      <c r="AE84" s="354"/>
      <c r="AF84" s="354"/>
      <c r="AG84" s="354"/>
      <c r="AH84" s="354"/>
      <c r="AI84" s="354"/>
      <c r="AJ84" s="354"/>
      <c r="AK84" s="354"/>
      <c r="AL84" s="354"/>
      <c r="AM84" s="354"/>
      <c r="AN84" s="354"/>
      <c r="AO84" s="354"/>
      <c r="AP84" s="354"/>
      <c r="AQ84" s="354"/>
      <c r="AR84" s="354"/>
      <c r="AS84" s="354"/>
      <c r="AT84" s="354"/>
      <c r="AU84" s="354"/>
      <c r="AV84" s="354"/>
      <c r="AW84" s="354"/>
      <c r="AX84" s="354"/>
      <c r="AY84" s="354"/>
      <c r="AZ84" s="354"/>
      <c r="BA84" s="354"/>
      <c r="BB84" s="354"/>
      <c r="BC84" s="354"/>
      <c r="BD84" s="354"/>
      <c r="BE84" s="354"/>
      <c r="BF84" s="354"/>
      <c r="BG84" s="354"/>
      <c r="BH84" s="354"/>
      <c r="BI84" s="354"/>
      <c r="BJ84" s="354"/>
      <c r="BK84" s="354"/>
      <c r="BL84" s="354"/>
      <c r="BM84" s="354"/>
      <c r="BN84" s="354"/>
      <c r="BO84" s="354"/>
      <c r="BP84" s="354"/>
      <c r="BQ84" s="354"/>
      <c r="BR84" s="354"/>
      <c r="BS84" s="354"/>
      <c r="BT84" s="354"/>
      <c r="BU84" s="354"/>
      <c r="BV84" s="354"/>
      <c r="BW84" s="354"/>
      <c r="BX84" s="354"/>
      <c r="BY84" s="354"/>
      <c r="BZ84" s="354"/>
      <c r="CA84" s="354"/>
      <c r="CB84" s="354"/>
      <c r="CC84" s="354"/>
      <c r="CD84" s="354"/>
      <c r="CE84" s="354"/>
      <c r="CF84" s="354"/>
      <c r="CG84" s="354"/>
      <c r="CH84" s="354"/>
      <c r="CI84" s="354"/>
      <c r="CJ84" s="354"/>
      <c r="CK84" s="354"/>
      <c r="CL84" s="354"/>
      <c r="CM84" s="354"/>
      <c r="CN84" s="354"/>
      <c r="CO84" s="354"/>
      <c r="CP84" s="354"/>
      <c r="CQ84" s="354"/>
      <c r="CR84" s="354"/>
      <c r="CS84" s="354"/>
      <c r="CT84" s="354"/>
      <c r="CU84" s="354"/>
      <c r="CV84" s="354"/>
      <c r="CW84" s="354"/>
      <c r="CX84" s="354"/>
      <c r="CY84" s="355"/>
    </row>
    <row r="85" spans="1:103" x14ac:dyDescent="0.25">
      <c r="A85" s="116" t="s">
        <v>336</v>
      </c>
      <c r="B85" s="117" t="s">
        <v>337</v>
      </c>
      <c r="C85" s="117" t="s">
        <v>338</v>
      </c>
      <c r="D85" s="129">
        <v>0</v>
      </c>
      <c r="E85" s="183">
        <v>45880</v>
      </c>
      <c r="F85" s="184">
        <v>45887</v>
      </c>
      <c r="H85" s="133"/>
      <c r="I85" s="133"/>
      <c r="J85" s="133"/>
      <c r="K85" s="134"/>
      <c r="L85" s="133"/>
      <c r="M85" s="133"/>
      <c r="N85" s="133"/>
      <c r="O85" s="134"/>
      <c r="P85" s="133"/>
      <c r="Q85" s="133"/>
      <c r="R85" s="133"/>
      <c r="S85" s="134"/>
      <c r="T85" s="133"/>
      <c r="U85" s="133"/>
      <c r="V85" s="133"/>
      <c r="W85" s="134"/>
      <c r="X85" s="133"/>
      <c r="Y85" s="133"/>
      <c r="Z85" s="133"/>
      <c r="AA85" s="134"/>
      <c r="AB85" s="133"/>
      <c r="AC85" s="133"/>
      <c r="AD85" s="133"/>
      <c r="AE85" s="134"/>
      <c r="AF85" s="133"/>
      <c r="AG85" s="133"/>
      <c r="AH85" s="133"/>
      <c r="AI85" s="134"/>
      <c r="AJ85" s="133"/>
      <c r="AK85" s="133"/>
      <c r="AL85" s="133"/>
      <c r="AM85" s="134"/>
      <c r="AN85" s="133"/>
      <c r="AO85" s="133"/>
      <c r="AP85" s="133"/>
      <c r="AQ85" s="134"/>
      <c r="AR85" s="133"/>
      <c r="AS85" s="133"/>
      <c r="AT85" s="133"/>
      <c r="AU85" s="134"/>
      <c r="AV85" s="154"/>
      <c r="AW85" s="133"/>
      <c r="AX85" s="133"/>
      <c r="AY85" s="134"/>
      <c r="AZ85" s="133"/>
      <c r="BA85" s="133"/>
      <c r="BB85" s="133"/>
      <c r="BC85" s="134"/>
      <c r="BD85" s="133"/>
      <c r="BE85" s="133"/>
      <c r="BF85" s="133"/>
      <c r="BG85" s="134"/>
      <c r="BH85" s="133"/>
      <c r="BI85" s="133"/>
      <c r="BJ85" s="133"/>
      <c r="BK85" s="134"/>
      <c r="BL85" s="133"/>
      <c r="BM85" s="133"/>
      <c r="BN85" s="133"/>
      <c r="BO85" s="134"/>
      <c r="BP85" s="133"/>
      <c r="BQ85" s="133"/>
      <c r="BR85" s="133"/>
      <c r="BS85" s="134"/>
      <c r="BT85" s="133"/>
      <c r="BU85" s="133"/>
      <c r="BV85" s="133"/>
      <c r="BW85" s="134"/>
      <c r="BX85" s="133"/>
      <c r="BY85" s="133"/>
      <c r="BZ85" s="133"/>
      <c r="CA85" s="134"/>
      <c r="CB85" s="133"/>
      <c r="CC85" s="133"/>
      <c r="CD85" s="133"/>
      <c r="CE85" s="134"/>
      <c r="CF85" s="133"/>
      <c r="CG85" s="133"/>
      <c r="CH85" s="133"/>
      <c r="CI85" s="134"/>
      <c r="CJ85" s="133"/>
      <c r="CK85" s="133"/>
      <c r="CL85" s="133"/>
      <c r="CM85" s="134"/>
      <c r="CN85" s="133"/>
      <c r="CO85" s="133"/>
      <c r="CP85" s="133"/>
      <c r="CQ85" s="134"/>
      <c r="CR85" s="133"/>
      <c r="CS85" s="133"/>
      <c r="CT85" s="133"/>
      <c r="CU85" s="134"/>
      <c r="CV85" s="133"/>
      <c r="CW85" s="133"/>
      <c r="CX85" s="133"/>
      <c r="CY85" s="134"/>
    </row>
    <row r="86" spans="1:103" x14ac:dyDescent="0.25">
      <c r="A86" s="215" t="s">
        <v>339</v>
      </c>
      <c r="B86" s="117" t="s">
        <v>340</v>
      </c>
      <c r="C86" s="117"/>
      <c r="D86" s="216" t="s">
        <v>242</v>
      </c>
      <c r="E86" s="183"/>
      <c r="F86" s="184">
        <v>45888</v>
      </c>
      <c r="H86" s="136"/>
      <c r="I86" s="136"/>
      <c r="J86" s="136"/>
      <c r="K86" s="137"/>
      <c r="L86" s="136"/>
      <c r="M86" s="136"/>
      <c r="N86" s="136"/>
      <c r="O86" s="137"/>
      <c r="P86" s="136"/>
      <c r="Q86" s="136"/>
      <c r="R86" s="136"/>
      <c r="S86" s="137"/>
      <c r="T86" s="136"/>
      <c r="U86" s="136"/>
      <c r="V86" s="136"/>
      <c r="W86" s="137"/>
      <c r="X86" s="136"/>
      <c r="Y86" s="136"/>
      <c r="Z86" s="136"/>
      <c r="AA86" s="137"/>
      <c r="AB86" s="136"/>
      <c r="AC86" s="136"/>
      <c r="AD86" s="136"/>
      <c r="AE86" s="137"/>
      <c r="AF86" s="136"/>
      <c r="AG86" s="136"/>
      <c r="AH86" s="136"/>
      <c r="AI86" s="137"/>
      <c r="AJ86" s="136"/>
      <c r="AK86" s="136"/>
      <c r="AL86" s="136"/>
      <c r="AM86" s="137"/>
      <c r="AN86" s="136"/>
      <c r="AO86" s="136"/>
      <c r="AP86" s="136"/>
      <c r="AQ86" s="137"/>
      <c r="AR86" s="136"/>
      <c r="AS86" s="136"/>
      <c r="AT86" s="136"/>
      <c r="AU86" s="137"/>
      <c r="AV86" s="136"/>
      <c r="AW86" s="204" t="s">
        <v>174</v>
      </c>
      <c r="AX86" s="136"/>
      <c r="AY86" s="137"/>
      <c r="AZ86" s="136"/>
      <c r="BA86" s="136"/>
      <c r="BB86" s="136"/>
      <c r="BC86" s="137"/>
      <c r="BD86" s="136"/>
      <c r="BE86" s="136"/>
      <c r="BF86" s="136"/>
      <c r="BG86" s="137"/>
      <c r="BH86" s="136"/>
      <c r="BI86" s="136"/>
      <c r="BJ86" s="136"/>
      <c r="BK86" s="137"/>
      <c r="BL86" s="136"/>
      <c r="BM86" s="136"/>
      <c r="BN86" s="136"/>
      <c r="BO86" s="137"/>
      <c r="BP86" s="136"/>
      <c r="BQ86" s="136"/>
      <c r="BR86" s="136"/>
      <c r="BS86" s="137"/>
      <c r="BT86" s="136"/>
      <c r="BU86" s="136"/>
      <c r="BV86" s="136"/>
      <c r="BW86" s="137"/>
      <c r="BX86" s="136"/>
      <c r="BY86" s="136"/>
      <c r="BZ86" s="136"/>
      <c r="CA86" s="137"/>
      <c r="CB86" s="136"/>
      <c r="CC86" s="136"/>
      <c r="CD86" s="136"/>
      <c r="CE86" s="137"/>
      <c r="CF86" s="136"/>
      <c r="CG86" s="136"/>
      <c r="CH86" s="136"/>
      <c r="CI86" s="137"/>
      <c r="CJ86" s="136"/>
      <c r="CK86" s="136"/>
      <c r="CL86" s="136"/>
      <c r="CM86" s="137"/>
      <c r="CN86" s="136"/>
      <c r="CO86" s="136"/>
      <c r="CP86" s="136"/>
      <c r="CQ86" s="137"/>
      <c r="CR86" s="136"/>
      <c r="CS86" s="136"/>
      <c r="CT86" s="136"/>
      <c r="CU86" s="137"/>
      <c r="CV86" s="136"/>
      <c r="CW86" s="136"/>
      <c r="CX86" s="136"/>
      <c r="CY86" s="137"/>
    </row>
    <row r="87" spans="1:103" x14ac:dyDescent="0.25">
      <c r="A87" s="114" t="s">
        <v>341</v>
      </c>
      <c r="B87" s="115" t="s">
        <v>342</v>
      </c>
      <c r="C87" s="115" t="s">
        <v>338</v>
      </c>
      <c r="D87" s="130">
        <v>0</v>
      </c>
      <c r="E87" s="185">
        <v>45880</v>
      </c>
      <c r="F87" s="186">
        <v>45889</v>
      </c>
      <c r="H87" s="136"/>
      <c r="I87" s="136"/>
      <c r="J87" s="136"/>
      <c r="K87" s="137"/>
      <c r="L87" s="136"/>
      <c r="M87" s="136"/>
      <c r="N87" s="136"/>
      <c r="O87" s="137"/>
      <c r="P87" s="136"/>
      <c r="Q87" s="136"/>
      <c r="R87" s="136"/>
      <c r="S87" s="137"/>
      <c r="T87" s="136"/>
      <c r="U87" s="136"/>
      <c r="V87" s="136"/>
      <c r="W87" s="137"/>
      <c r="X87" s="136"/>
      <c r="Y87" s="136"/>
      <c r="Z87" s="136"/>
      <c r="AA87" s="137"/>
      <c r="AB87" s="136"/>
      <c r="AC87" s="136"/>
      <c r="AD87" s="136"/>
      <c r="AE87" s="137"/>
      <c r="AF87" s="136"/>
      <c r="AG87" s="136"/>
      <c r="AH87" s="136"/>
      <c r="AI87" s="137"/>
      <c r="AJ87" s="136"/>
      <c r="AK87" s="136"/>
      <c r="AL87" s="136"/>
      <c r="AM87" s="137"/>
      <c r="AN87" s="136"/>
      <c r="AO87" s="136"/>
      <c r="AP87" s="136"/>
      <c r="AQ87" s="137"/>
      <c r="AR87" s="136"/>
      <c r="AS87" s="136"/>
      <c r="AT87" s="136"/>
      <c r="AU87" s="137"/>
      <c r="AV87" s="168"/>
      <c r="AW87" s="168"/>
      <c r="AX87" s="136"/>
      <c r="AY87" s="137"/>
      <c r="AZ87" s="136"/>
      <c r="BA87" s="136"/>
      <c r="BB87" s="136"/>
      <c r="BC87" s="137"/>
      <c r="BD87" s="136"/>
      <c r="BE87" s="136"/>
      <c r="BF87" s="136"/>
      <c r="BG87" s="137"/>
      <c r="BH87" s="136"/>
      <c r="BI87" s="136"/>
      <c r="BJ87" s="136"/>
      <c r="BK87" s="137"/>
      <c r="BL87" s="136"/>
      <c r="BM87" s="136"/>
      <c r="BN87" s="136"/>
      <c r="BO87" s="137"/>
      <c r="BP87" s="136"/>
      <c r="BQ87" s="136"/>
      <c r="BR87" s="136"/>
      <c r="BS87" s="137"/>
      <c r="BT87" s="136"/>
      <c r="BU87" s="136"/>
      <c r="BV87" s="136"/>
      <c r="BW87" s="137"/>
      <c r="BX87" s="136"/>
      <c r="BY87" s="136"/>
      <c r="BZ87" s="136"/>
      <c r="CA87" s="137"/>
      <c r="CB87" s="136"/>
      <c r="CC87" s="136"/>
      <c r="CD87" s="136"/>
      <c r="CE87" s="137"/>
      <c r="CF87" s="136"/>
      <c r="CG87" s="136"/>
      <c r="CH87" s="136"/>
      <c r="CI87" s="137"/>
      <c r="CJ87" s="136"/>
      <c r="CK87" s="136"/>
      <c r="CL87" s="136"/>
      <c r="CM87" s="137"/>
      <c r="CN87" s="136"/>
      <c r="CO87" s="136"/>
      <c r="CP87" s="136"/>
      <c r="CQ87" s="137"/>
      <c r="CR87" s="136"/>
      <c r="CS87" s="136"/>
      <c r="CT87" s="136"/>
      <c r="CU87" s="137"/>
      <c r="CV87" s="136"/>
      <c r="CW87" s="136"/>
      <c r="CX87" s="136"/>
      <c r="CY87" s="137"/>
    </row>
    <row r="88" spans="1:103" x14ac:dyDescent="0.25">
      <c r="A88" s="118" t="s">
        <v>343</v>
      </c>
      <c r="B88" s="96" t="s">
        <v>344</v>
      </c>
      <c r="C88" s="96" t="s">
        <v>345</v>
      </c>
      <c r="D88" s="131">
        <v>0</v>
      </c>
      <c r="E88" s="187">
        <v>45890</v>
      </c>
      <c r="F88" s="188">
        <v>45910</v>
      </c>
      <c r="H88" s="136"/>
      <c r="I88" s="136"/>
      <c r="J88" s="136"/>
      <c r="K88" s="137"/>
      <c r="L88" s="136"/>
      <c r="M88" s="136"/>
      <c r="N88" s="136"/>
      <c r="O88" s="137"/>
      <c r="P88" s="136"/>
      <c r="Q88" s="136"/>
      <c r="R88" s="136"/>
      <c r="S88" s="137"/>
      <c r="T88" s="136"/>
      <c r="U88" s="136"/>
      <c r="V88" s="136"/>
      <c r="W88" s="137"/>
      <c r="X88" s="136"/>
      <c r="Y88" s="136"/>
      <c r="Z88" s="136"/>
      <c r="AA88" s="137"/>
      <c r="AB88" s="136"/>
      <c r="AC88" s="136"/>
      <c r="AD88" s="136"/>
      <c r="AE88" s="137"/>
      <c r="AF88" s="136"/>
      <c r="AG88" s="136"/>
      <c r="AH88" s="136"/>
      <c r="AI88" s="137"/>
      <c r="AJ88" s="136"/>
      <c r="AK88" s="136"/>
      <c r="AL88" s="136"/>
      <c r="AM88" s="137"/>
      <c r="AN88" s="136"/>
      <c r="AO88" s="136"/>
      <c r="AP88" s="136"/>
      <c r="AQ88" s="137"/>
      <c r="AR88" s="136"/>
      <c r="AS88" s="136"/>
      <c r="AT88" s="136"/>
      <c r="AU88" s="137"/>
      <c r="AV88" s="136"/>
      <c r="AW88" s="136"/>
      <c r="AX88" s="168"/>
      <c r="AY88" s="153"/>
      <c r="AZ88" s="168"/>
      <c r="BA88" s="136"/>
      <c r="BB88" s="136"/>
      <c r="BC88" s="137"/>
      <c r="BD88" s="136"/>
      <c r="BE88" s="136"/>
      <c r="BF88" s="136"/>
      <c r="BG88" s="137"/>
      <c r="BH88" s="136"/>
      <c r="BI88" s="136"/>
      <c r="BJ88" s="136"/>
      <c r="BK88" s="137"/>
      <c r="BL88" s="136"/>
      <c r="BM88" s="136"/>
      <c r="BN88" s="136"/>
      <c r="BO88" s="137"/>
      <c r="BP88" s="136"/>
      <c r="BQ88" s="136"/>
      <c r="BR88" s="136"/>
      <c r="BS88" s="137"/>
      <c r="BT88" s="136"/>
      <c r="BU88" s="136"/>
      <c r="BV88" s="136"/>
      <c r="BW88" s="137"/>
      <c r="BX88" s="136"/>
      <c r="BY88" s="136"/>
      <c r="BZ88" s="136"/>
      <c r="CA88" s="137"/>
      <c r="CB88" s="136"/>
      <c r="CC88" s="136"/>
      <c r="CD88" s="136"/>
      <c r="CE88" s="137"/>
      <c r="CF88" s="136"/>
      <c r="CG88" s="136"/>
      <c r="CH88" s="136"/>
      <c r="CI88" s="137"/>
      <c r="CJ88" s="136"/>
      <c r="CK88" s="136"/>
      <c r="CL88" s="136"/>
      <c r="CM88" s="137"/>
      <c r="CN88" s="136"/>
      <c r="CO88" s="136"/>
      <c r="CP88" s="136"/>
      <c r="CQ88" s="137"/>
      <c r="CR88" s="136"/>
      <c r="CS88" s="136"/>
      <c r="CT88" s="136"/>
      <c r="CU88" s="137"/>
      <c r="CV88" s="136"/>
      <c r="CW88" s="136"/>
      <c r="CX88" s="136"/>
      <c r="CY88" s="137"/>
    </row>
    <row r="89" spans="1:103" x14ac:dyDescent="0.25">
      <c r="A89" s="114" t="s">
        <v>346</v>
      </c>
      <c r="B89" s="115" t="s">
        <v>347</v>
      </c>
      <c r="C89" s="115" t="s">
        <v>179</v>
      </c>
      <c r="D89" s="130">
        <v>0</v>
      </c>
      <c r="E89" s="185">
        <v>45911</v>
      </c>
      <c r="F89" s="186">
        <v>45918</v>
      </c>
      <c r="H89" s="138"/>
      <c r="I89" s="138"/>
      <c r="J89" s="138"/>
      <c r="K89" s="143"/>
      <c r="L89" s="138"/>
      <c r="M89" s="138"/>
      <c r="N89" s="138"/>
      <c r="O89" s="143"/>
      <c r="P89" s="138"/>
      <c r="Q89" s="138"/>
      <c r="R89" s="138"/>
      <c r="S89" s="143"/>
      <c r="T89" s="138"/>
      <c r="U89" s="138"/>
      <c r="V89" s="138"/>
      <c r="W89" s="143"/>
      <c r="X89" s="138"/>
      <c r="Y89" s="138"/>
      <c r="Z89" s="138"/>
      <c r="AA89" s="143"/>
      <c r="AB89" s="138"/>
      <c r="AC89" s="138"/>
      <c r="AD89" s="138"/>
      <c r="AE89" s="143"/>
      <c r="AF89" s="138"/>
      <c r="AG89" s="138"/>
      <c r="AH89" s="138"/>
      <c r="AI89" s="143"/>
      <c r="AJ89" s="138"/>
      <c r="AK89" s="138"/>
      <c r="AL89" s="138"/>
      <c r="AM89" s="143"/>
      <c r="AN89" s="138"/>
      <c r="AO89" s="138"/>
      <c r="AP89" s="138"/>
      <c r="AQ89" s="143"/>
      <c r="AR89" s="138"/>
      <c r="AS89" s="138"/>
      <c r="AT89" s="138"/>
      <c r="AU89" s="143"/>
      <c r="AV89" s="138"/>
      <c r="AW89" s="138"/>
      <c r="AX89" s="138"/>
      <c r="AY89" s="143"/>
      <c r="AZ89" s="138"/>
      <c r="BA89" s="172"/>
      <c r="BB89" s="138"/>
      <c r="BC89" s="143"/>
      <c r="BD89" s="138"/>
      <c r="BE89" s="138"/>
      <c r="BF89" s="138"/>
      <c r="BG89" s="143"/>
      <c r="BH89" s="138"/>
      <c r="BI89" s="138"/>
      <c r="BJ89" s="138"/>
      <c r="BK89" s="143"/>
      <c r="BL89" s="138"/>
      <c r="BM89" s="138"/>
      <c r="BN89" s="138"/>
      <c r="BO89" s="143"/>
      <c r="BP89" s="138"/>
      <c r="BQ89" s="138"/>
      <c r="BR89" s="138"/>
      <c r="BS89" s="143"/>
      <c r="BT89" s="138"/>
      <c r="BU89" s="138"/>
      <c r="BV89" s="138"/>
      <c r="BW89" s="143"/>
      <c r="BX89" s="138"/>
      <c r="BY89" s="138"/>
      <c r="BZ89" s="138"/>
      <c r="CA89" s="143"/>
      <c r="CB89" s="138"/>
      <c r="CC89" s="138"/>
      <c r="CD89" s="138"/>
      <c r="CE89" s="143"/>
      <c r="CF89" s="138"/>
      <c r="CG89" s="138"/>
      <c r="CH89" s="138"/>
      <c r="CI89" s="143"/>
      <c r="CJ89" s="138"/>
      <c r="CK89" s="138"/>
      <c r="CL89" s="138"/>
      <c r="CM89" s="143"/>
      <c r="CN89" s="138"/>
      <c r="CO89" s="138"/>
      <c r="CP89" s="138"/>
      <c r="CQ89" s="143"/>
      <c r="CR89" s="138"/>
      <c r="CS89" s="138"/>
      <c r="CT89" s="138"/>
      <c r="CU89" s="143"/>
      <c r="CV89" s="138"/>
      <c r="CW89" s="138"/>
      <c r="CX89" s="138"/>
      <c r="CY89" s="143"/>
    </row>
    <row r="90" spans="1:103" ht="15" customHeight="1" x14ac:dyDescent="0.25">
      <c r="A90" s="215" t="s">
        <v>348</v>
      </c>
      <c r="B90" s="117" t="s">
        <v>349</v>
      </c>
      <c r="C90" s="117"/>
      <c r="D90" s="216" t="s">
        <v>242</v>
      </c>
      <c r="E90" s="183"/>
      <c r="F90" s="184">
        <v>45919</v>
      </c>
      <c r="H90" s="136"/>
      <c r="I90" s="136"/>
      <c r="J90" s="136"/>
      <c r="K90" s="137"/>
      <c r="L90" s="136"/>
      <c r="M90" s="136"/>
      <c r="N90" s="136"/>
      <c r="O90" s="137"/>
      <c r="P90" s="136"/>
      <c r="Q90" s="136"/>
      <c r="R90" s="136"/>
      <c r="S90" s="137"/>
      <c r="T90" s="136"/>
      <c r="U90" s="136"/>
      <c r="V90" s="136"/>
      <c r="W90" s="137"/>
      <c r="X90" s="136"/>
      <c r="Y90" s="136"/>
      <c r="Z90" s="136"/>
      <c r="AA90" s="137"/>
      <c r="AB90" s="136"/>
      <c r="AC90" s="136"/>
      <c r="AD90" s="136"/>
      <c r="AE90" s="137"/>
      <c r="AF90" s="136"/>
      <c r="AG90" s="136"/>
      <c r="AH90" s="136"/>
      <c r="AI90" s="137"/>
      <c r="AJ90" s="136"/>
      <c r="AK90" s="136"/>
      <c r="AL90" s="136"/>
      <c r="AM90" s="137"/>
      <c r="AN90" s="136"/>
      <c r="AO90" s="136"/>
      <c r="AP90" s="136"/>
      <c r="AQ90" s="137"/>
      <c r="AR90" s="136"/>
      <c r="AS90" s="136"/>
      <c r="AT90" s="136"/>
      <c r="AU90" s="137"/>
      <c r="AV90" s="136"/>
      <c r="AW90" s="136"/>
      <c r="AX90" s="136"/>
      <c r="AY90" s="137"/>
      <c r="AZ90" s="136"/>
      <c r="BA90" s="136"/>
      <c r="BB90" s="136" t="s">
        <v>174</v>
      </c>
      <c r="BC90" s="137"/>
      <c r="BD90" s="136"/>
      <c r="BE90" s="136"/>
      <c r="BF90" s="136"/>
      <c r="BG90" s="137"/>
      <c r="BH90" s="136"/>
      <c r="BI90" s="136"/>
      <c r="BJ90" s="136"/>
      <c r="BK90" s="137"/>
      <c r="BL90" s="136"/>
      <c r="BM90" s="136"/>
      <c r="BN90" s="136"/>
      <c r="BO90" s="137"/>
      <c r="BP90" s="136"/>
      <c r="BQ90" s="136"/>
      <c r="BR90" s="136"/>
      <c r="BS90" s="137"/>
      <c r="BT90" s="136"/>
      <c r="BU90" s="136"/>
      <c r="BV90" s="136"/>
      <c r="BW90" s="137"/>
      <c r="BX90" s="136"/>
      <c r="BY90" s="136"/>
      <c r="BZ90" s="136"/>
      <c r="CA90" s="137"/>
      <c r="CB90" s="136"/>
      <c r="CC90" s="136"/>
      <c r="CD90" s="136"/>
      <c r="CE90" s="137"/>
      <c r="CF90" s="136"/>
      <c r="CG90" s="136"/>
      <c r="CH90" s="136"/>
      <c r="CI90" s="137"/>
      <c r="CJ90" s="136"/>
      <c r="CK90" s="136"/>
      <c r="CL90" s="136"/>
      <c r="CM90" s="137"/>
      <c r="CN90" s="136"/>
      <c r="CO90" s="136"/>
      <c r="CP90" s="136"/>
      <c r="CQ90" s="137"/>
      <c r="CR90" s="136"/>
      <c r="CS90" s="136"/>
      <c r="CT90" s="136"/>
      <c r="CU90" s="137"/>
      <c r="CV90" s="136"/>
      <c r="CW90" s="136"/>
      <c r="CX90" s="136"/>
      <c r="CY90" s="137"/>
    </row>
  </sheetData>
  <mergeCells count="42">
    <mergeCell ref="B2:G2"/>
    <mergeCell ref="A6:A7"/>
    <mergeCell ref="H6:K6"/>
    <mergeCell ref="B6:B7"/>
    <mergeCell ref="C6:C7"/>
    <mergeCell ref="D6:D7"/>
    <mergeCell ref="E6:E7"/>
    <mergeCell ref="F6:F7"/>
    <mergeCell ref="H2:X2"/>
    <mergeCell ref="H5:BC5"/>
    <mergeCell ref="AR6:AU6"/>
    <mergeCell ref="AV6:AY6"/>
    <mergeCell ref="AZ6:BC6"/>
    <mergeCell ref="T6:W6"/>
    <mergeCell ref="X6:AA6"/>
    <mergeCell ref="BD5:CY5"/>
    <mergeCell ref="BP6:BS6"/>
    <mergeCell ref="BT6:BW6"/>
    <mergeCell ref="BX6:CA6"/>
    <mergeCell ref="CB6:CE6"/>
    <mergeCell ref="CF6:CI6"/>
    <mergeCell ref="CJ6:CM6"/>
    <mergeCell ref="BD6:BG6"/>
    <mergeCell ref="BH6:BK6"/>
    <mergeCell ref="BL6:BO6"/>
    <mergeCell ref="G8:CY8"/>
    <mergeCell ref="CN6:CQ6"/>
    <mergeCell ref="CR6:CU6"/>
    <mergeCell ref="CV6:CY6"/>
    <mergeCell ref="AB6:AE6"/>
    <mergeCell ref="AF6:AI6"/>
    <mergeCell ref="AJ6:AM6"/>
    <mergeCell ref="AN6:AQ6"/>
    <mergeCell ref="L6:O6"/>
    <mergeCell ref="P6:S6"/>
    <mergeCell ref="G52:CY52"/>
    <mergeCell ref="G63:CY63"/>
    <mergeCell ref="G75:CY75"/>
    <mergeCell ref="G84:CY84"/>
    <mergeCell ref="G19:CY19"/>
    <mergeCell ref="G30:CY30"/>
    <mergeCell ref="G42:CY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CF90-415B-4D48-BA56-7672BF0BE9C5}">
  <dimension ref="B2:G35"/>
  <sheetViews>
    <sheetView tabSelected="1" workbookViewId="0">
      <selection activeCell="F21" sqref="F21"/>
    </sheetView>
  </sheetViews>
  <sheetFormatPr defaultRowHeight="15" x14ac:dyDescent="0.25"/>
  <cols>
    <col min="2" max="2" width="15" customWidth="1"/>
    <col min="3" max="3" width="8.42578125" customWidth="1"/>
    <col min="4" max="4" width="15.140625" customWidth="1"/>
    <col min="5" max="5" width="14.85546875" customWidth="1"/>
    <col min="6" max="6" width="24.5703125" customWidth="1"/>
    <col min="7" max="7" width="13.85546875" customWidth="1"/>
  </cols>
  <sheetData>
    <row r="2" spans="2:7" ht="21.75" customHeight="1" x14ac:dyDescent="0.25">
      <c r="B2" s="195" t="s">
        <v>350</v>
      </c>
      <c r="C2" s="195" t="s">
        <v>351</v>
      </c>
      <c r="D2" s="195" t="s">
        <v>352</v>
      </c>
      <c r="E2" s="195" t="s">
        <v>353</v>
      </c>
      <c r="F2" s="195" t="s">
        <v>354</v>
      </c>
      <c r="G2" s="195" t="s">
        <v>355</v>
      </c>
    </row>
    <row r="3" spans="2:7" ht="60" x14ac:dyDescent="0.25">
      <c r="B3" s="369" t="s">
        <v>163</v>
      </c>
      <c r="C3" s="189" t="s">
        <v>187</v>
      </c>
      <c r="D3" s="189" t="s">
        <v>188</v>
      </c>
      <c r="E3" s="192">
        <v>45597</v>
      </c>
      <c r="F3" s="189" t="s">
        <v>356</v>
      </c>
      <c r="G3" s="189" t="s">
        <v>173</v>
      </c>
    </row>
    <row r="4" spans="2:7" ht="60" x14ac:dyDescent="0.25">
      <c r="B4" s="370"/>
      <c r="C4" s="193" t="s">
        <v>171</v>
      </c>
      <c r="D4" s="193" t="s">
        <v>172</v>
      </c>
      <c r="E4" s="194">
        <v>45580</v>
      </c>
      <c r="F4" s="193" t="s">
        <v>357</v>
      </c>
      <c r="G4" s="193" t="s">
        <v>173</v>
      </c>
    </row>
    <row r="5" spans="2:7" ht="60" x14ac:dyDescent="0.25">
      <c r="B5" s="369" t="s">
        <v>358</v>
      </c>
      <c r="C5" s="189" t="s">
        <v>195</v>
      </c>
      <c r="D5" s="189" t="s">
        <v>196</v>
      </c>
      <c r="E5" s="192">
        <v>45617</v>
      </c>
      <c r="F5" s="189" t="s">
        <v>359</v>
      </c>
      <c r="G5" s="189" t="s">
        <v>173</v>
      </c>
    </row>
    <row r="6" spans="2:7" ht="45" x14ac:dyDescent="0.25">
      <c r="B6" s="369"/>
      <c r="C6" s="26" t="s">
        <v>205</v>
      </c>
      <c r="D6" s="26" t="s">
        <v>206</v>
      </c>
      <c r="E6" s="191">
        <v>45630</v>
      </c>
      <c r="F6" s="26" t="s">
        <v>360</v>
      </c>
      <c r="G6" s="26" t="s">
        <v>173</v>
      </c>
    </row>
    <row r="7" spans="2:7" ht="60" x14ac:dyDescent="0.25">
      <c r="B7" s="370"/>
      <c r="C7" s="193" t="s">
        <v>212</v>
      </c>
      <c r="D7" s="193" t="s">
        <v>213</v>
      </c>
      <c r="E7" s="194">
        <v>45638</v>
      </c>
      <c r="F7" s="193" t="s">
        <v>361</v>
      </c>
      <c r="G7" s="193" t="s">
        <v>173</v>
      </c>
    </row>
    <row r="8" spans="2:7" ht="75" x14ac:dyDescent="0.25">
      <c r="B8" s="371" t="s">
        <v>214</v>
      </c>
      <c r="C8" s="189" t="s">
        <v>233</v>
      </c>
      <c r="D8" s="189" t="s">
        <v>234</v>
      </c>
      <c r="E8" s="192">
        <v>45653</v>
      </c>
      <c r="F8" s="189" t="s">
        <v>362</v>
      </c>
      <c r="G8" s="189" t="s">
        <v>235</v>
      </c>
    </row>
    <row r="9" spans="2:7" ht="60" x14ac:dyDescent="0.25">
      <c r="B9" s="370"/>
      <c r="C9" s="193" t="s">
        <v>240</v>
      </c>
      <c r="D9" s="193" t="s">
        <v>241</v>
      </c>
      <c r="E9" s="194">
        <v>45686</v>
      </c>
      <c r="F9" s="193" t="s">
        <v>363</v>
      </c>
      <c r="G9" s="193" t="s">
        <v>242</v>
      </c>
    </row>
    <row r="10" spans="2:7" ht="75" x14ac:dyDescent="0.25">
      <c r="B10" s="371" t="s">
        <v>243</v>
      </c>
      <c r="C10" s="189" t="s">
        <v>247</v>
      </c>
      <c r="D10" s="189" t="s">
        <v>248</v>
      </c>
      <c r="E10" s="192">
        <v>45673</v>
      </c>
      <c r="F10" s="189" t="s">
        <v>364</v>
      </c>
      <c r="G10" s="189" t="s">
        <v>235</v>
      </c>
    </row>
    <row r="11" spans="2:7" ht="75" x14ac:dyDescent="0.25">
      <c r="B11" s="369"/>
      <c r="C11" s="26" t="s">
        <v>256</v>
      </c>
      <c r="D11" s="26" t="s">
        <v>257</v>
      </c>
      <c r="E11" s="191">
        <v>45737</v>
      </c>
      <c r="F11" s="26" t="s">
        <v>365</v>
      </c>
      <c r="G11" s="26" t="s">
        <v>242</v>
      </c>
    </row>
    <row r="12" spans="2:7" ht="45" x14ac:dyDescent="0.25">
      <c r="B12" s="370"/>
      <c r="C12" s="193" t="s">
        <v>263</v>
      </c>
      <c r="D12" s="193" t="s">
        <v>366</v>
      </c>
      <c r="E12" s="194">
        <v>45741</v>
      </c>
      <c r="F12" s="193" t="s">
        <v>367</v>
      </c>
      <c r="G12" s="193" t="s">
        <v>242</v>
      </c>
    </row>
    <row r="13" spans="2:7" ht="45" x14ac:dyDescent="0.25">
      <c r="B13" s="371" t="s">
        <v>265</v>
      </c>
      <c r="C13" s="189" t="s">
        <v>272</v>
      </c>
      <c r="D13" s="189" t="s">
        <v>273</v>
      </c>
      <c r="E13" s="192">
        <v>45757</v>
      </c>
      <c r="F13" s="189" t="s">
        <v>368</v>
      </c>
      <c r="G13" s="189" t="s">
        <v>242</v>
      </c>
    </row>
    <row r="14" spans="2:7" ht="45" x14ac:dyDescent="0.25">
      <c r="B14" s="369"/>
      <c r="C14" s="26" t="s">
        <v>276</v>
      </c>
      <c r="D14" s="26" t="s">
        <v>277</v>
      </c>
      <c r="E14" s="191">
        <v>45764</v>
      </c>
      <c r="F14" s="26" t="s">
        <v>369</v>
      </c>
      <c r="G14" s="26" t="s">
        <v>242</v>
      </c>
    </row>
    <row r="15" spans="2:7" ht="60" x14ac:dyDescent="0.25">
      <c r="B15" s="369"/>
      <c r="C15" s="26" t="s">
        <v>280</v>
      </c>
      <c r="D15" s="26" t="s">
        <v>281</v>
      </c>
      <c r="E15" s="191">
        <v>45764</v>
      </c>
      <c r="F15" s="26" t="s">
        <v>370</v>
      </c>
      <c r="G15" s="26" t="s">
        <v>242</v>
      </c>
    </row>
    <row r="16" spans="2:7" ht="30" x14ac:dyDescent="0.25">
      <c r="B16" s="369"/>
      <c r="C16" s="26" t="s">
        <v>284</v>
      </c>
      <c r="D16" s="26" t="s">
        <v>285</v>
      </c>
      <c r="E16" s="191">
        <v>45764</v>
      </c>
      <c r="F16" s="26" t="s">
        <v>371</v>
      </c>
      <c r="G16" s="26" t="s">
        <v>242</v>
      </c>
    </row>
    <row r="17" spans="2:7" ht="60" x14ac:dyDescent="0.25">
      <c r="B17" s="370"/>
      <c r="C17" s="193" t="s">
        <v>286</v>
      </c>
      <c r="D17" s="193" t="s">
        <v>287</v>
      </c>
      <c r="E17" s="194">
        <v>45768</v>
      </c>
      <c r="F17" s="193" t="s">
        <v>372</v>
      </c>
      <c r="G17" s="193" t="s">
        <v>242</v>
      </c>
    </row>
    <row r="18" spans="2:7" ht="60" x14ac:dyDescent="0.25">
      <c r="B18" s="369" t="s">
        <v>373</v>
      </c>
      <c r="C18" s="189" t="s">
        <v>297</v>
      </c>
      <c r="D18" s="189" t="s">
        <v>298</v>
      </c>
      <c r="E18" s="192">
        <v>45755</v>
      </c>
      <c r="F18" s="189" t="s">
        <v>374</v>
      </c>
      <c r="G18" s="189" t="s">
        <v>242</v>
      </c>
    </row>
    <row r="19" spans="2:7" ht="45" x14ac:dyDescent="0.25">
      <c r="B19" s="369"/>
      <c r="C19" s="26" t="s">
        <v>301</v>
      </c>
      <c r="D19" s="26" t="s">
        <v>302</v>
      </c>
      <c r="E19" s="191">
        <v>45775</v>
      </c>
      <c r="F19" s="26" t="s">
        <v>375</v>
      </c>
      <c r="G19" s="26" t="s">
        <v>242</v>
      </c>
    </row>
    <row r="20" spans="2:7" ht="45" x14ac:dyDescent="0.25">
      <c r="B20" s="370"/>
      <c r="C20" s="193" t="s">
        <v>313</v>
      </c>
      <c r="D20" s="193" t="s">
        <v>314</v>
      </c>
      <c r="E20" s="194">
        <v>45833</v>
      </c>
      <c r="F20" s="193" t="s">
        <v>376</v>
      </c>
      <c r="G20" s="193" t="s">
        <v>242</v>
      </c>
    </row>
    <row r="21" spans="2:7" ht="45" x14ac:dyDescent="0.25">
      <c r="B21" s="369" t="s">
        <v>315</v>
      </c>
      <c r="C21" s="189" t="s">
        <v>321</v>
      </c>
      <c r="D21" s="189" t="s">
        <v>322</v>
      </c>
      <c r="E21" s="192">
        <v>45861</v>
      </c>
      <c r="F21" s="189" t="s">
        <v>377</v>
      </c>
      <c r="G21" s="189" t="s">
        <v>242</v>
      </c>
    </row>
    <row r="22" spans="2:7" ht="45" x14ac:dyDescent="0.25">
      <c r="B22" s="369"/>
      <c r="C22" s="26" t="s">
        <v>328</v>
      </c>
      <c r="D22" s="26" t="s">
        <v>329</v>
      </c>
      <c r="E22" s="191">
        <v>45641</v>
      </c>
      <c r="F22" s="26" t="s">
        <v>378</v>
      </c>
      <c r="G22" s="26" t="s">
        <v>242</v>
      </c>
    </row>
    <row r="23" spans="2:7" ht="45" x14ac:dyDescent="0.25">
      <c r="B23" s="370"/>
      <c r="C23" s="193" t="s">
        <v>333</v>
      </c>
      <c r="D23" s="193" t="s">
        <v>334</v>
      </c>
      <c r="E23" s="194">
        <v>45881</v>
      </c>
      <c r="F23" s="193" t="s">
        <v>379</v>
      </c>
      <c r="G23" s="193" t="s">
        <v>242</v>
      </c>
    </row>
    <row r="24" spans="2:7" ht="60" x14ac:dyDescent="0.25">
      <c r="B24" s="369" t="s">
        <v>335</v>
      </c>
      <c r="C24" s="189" t="s">
        <v>339</v>
      </c>
      <c r="D24" s="189" t="s">
        <v>340</v>
      </c>
      <c r="E24" s="192">
        <v>45888</v>
      </c>
      <c r="F24" s="189" t="s">
        <v>380</v>
      </c>
      <c r="G24" s="189" t="s">
        <v>242</v>
      </c>
    </row>
    <row r="25" spans="2:7" ht="60" x14ac:dyDescent="0.25">
      <c r="B25" s="370"/>
      <c r="C25" s="193" t="s">
        <v>348</v>
      </c>
      <c r="D25" s="193" t="s">
        <v>349</v>
      </c>
      <c r="E25" s="194">
        <v>45919</v>
      </c>
      <c r="F25" s="193" t="s">
        <v>381</v>
      </c>
      <c r="G25" s="193" t="s">
        <v>242</v>
      </c>
    </row>
    <row r="27" spans="2:7" x14ac:dyDescent="0.25">
      <c r="B27" s="27"/>
      <c r="C27" s="27"/>
      <c r="D27" s="27"/>
      <c r="E27" s="27"/>
      <c r="F27" s="27"/>
      <c r="G27" s="27"/>
    </row>
    <row r="28" spans="2:7" x14ac:dyDescent="0.25">
      <c r="B28" s="27"/>
      <c r="C28" s="27"/>
      <c r="D28" s="27"/>
      <c r="E28" s="27"/>
      <c r="F28" s="27"/>
      <c r="G28" s="27"/>
    </row>
    <row r="29" spans="2:7" x14ac:dyDescent="0.25">
      <c r="B29" s="27"/>
      <c r="C29" s="27"/>
      <c r="D29" s="27"/>
      <c r="E29" s="27"/>
      <c r="F29" s="27"/>
      <c r="G29" s="27"/>
    </row>
    <row r="30" spans="2:7" x14ac:dyDescent="0.25">
      <c r="B30" s="27"/>
      <c r="C30" s="27"/>
      <c r="D30" s="27"/>
      <c r="E30" s="27"/>
      <c r="F30" s="27"/>
      <c r="G30" s="27"/>
    </row>
    <row r="31" spans="2:7" x14ac:dyDescent="0.25">
      <c r="B31" s="27"/>
      <c r="C31" s="27"/>
      <c r="D31" s="27"/>
      <c r="E31" s="27"/>
      <c r="F31" s="27"/>
      <c r="G31" s="27"/>
    </row>
    <row r="32" spans="2:7" x14ac:dyDescent="0.25">
      <c r="B32" s="27"/>
      <c r="C32" s="27"/>
      <c r="D32" s="27"/>
      <c r="E32" s="27"/>
      <c r="F32" s="27"/>
      <c r="G32" s="27"/>
    </row>
    <row r="33" spans="2:7" x14ac:dyDescent="0.25">
      <c r="B33" s="27"/>
      <c r="C33" s="27"/>
      <c r="D33" s="27"/>
      <c r="E33" s="27"/>
      <c r="F33" s="27"/>
      <c r="G33" s="27"/>
    </row>
    <row r="34" spans="2:7" x14ac:dyDescent="0.25">
      <c r="B34" s="27"/>
      <c r="C34" s="27"/>
      <c r="D34" s="27"/>
      <c r="E34" s="27"/>
      <c r="F34" s="27"/>
      <c r="G34" s="27"/>
    </row>
    <row r="35" spans="2:7" x14ac:dyDescent="0.25">
      <c r="B35" s="27"/>
      <c r="C35" s="27"/>
      <c r="D35" s="27"/>
      <c r="E35" s="27"/>
      <c r="F35" s="27"/>
      <c r="G35" s="27"/>
    </row>
  </sheetData>
  <mergeCells count="8">
    <mergeCell ref="B18:B20"/>
    <mergeCell ref="B21:B23"/>
    <mergeCell ref="B24:B25"/>
    <mergeCell ref="B3:B4"/>
    <mergeCell ref="B5:B7"/>
    <mergeCell ref="B8:B9"/>
    <mergeCell ref="B10:B12"/>
    <mergeCell ref="B13:B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34E9-CD98-48C2-805A-886FC04F816C}">
  <dimension ref="B2:S17"/>
  <sheetViews>
    <sheetView topLeftCell="A5" workbookViewId="0">
      <selection activeCell="E8" sqref="E8"/>
    </sheetView>
  </sheetViews>
  <sheetFormatPr defaultRowHeight="15" x14ac:dyDescent="0.25"/>
  <cols>
    <col min="1" max="1" width="4.85546875" customWidth="1"/>
    <col min="2" max="2" width="10" customWidth="1"/>
    <col min="3" max="3" width="21.140625" customWidth="1"/>
    <col min="4" max="4" width="32.140625" customWidth="1"/>
    <col min="5" max="5" width="39.7109375" customWidth="1"/>
    <col min="6" max="6" width="10.5703125" customWidth="1"/>
    <col min="7" max="7" width="10.42578125" customWidth="1"/>
    <col min="11" max="11" width="16.5703125" customWidth="1"/>
    <col min="18" max="18" width="16.28515625" customWidth="1"/>
  </cols>
  <sheetData>
    <row r="2" spans="2:19" ht="21" x14ac:dyDescent="0.25">
      <c r="B2" s="374" t="s">
        <v>382</v>
      </c>
      <c r="C2" s="375"/>
      <c r="D2" s="375"/>
      <c r="E2" s="375"/>
      <c r="F2" s="375"/>
      <c r="G2" s="375"/>
      <c r="H2" s="375"/>
      <c r="K2" s="240" t="s">
        <v>383</v>
      </c>
      <c r="L2" s="222" t="s">
        <v>384</v>
      </c>
      <c r="M2" s="222" t="s">
        <v>385</v>
      </c>
      <c r="N2" s="222" t="s">
        <v>386</v>
      </c>
      <c r="O2" s="222" t="s">
        <v>387</v>
      </c>
      <c r="P2" s="222" t="s">
        <v>388</v>
      </c>
      <c r="R2" s="217" t="s">
        <v>389</v>
      </c>
      <c r="S2" s="239" t="s">
        <v>384</v>
      </c>
    </row>
    <row r="3" spans="2:19" x14ac:dyDescent="0.25">
      <c r="B3" s="372" t="s">
        <v>390</v>
      </c>
      <c r="C3" s="373"/>
      <c r="D3" s="218" t="s">
        <v>391</v>
      </c>
      <c r="E3" s="224"/>
      <c r="F3" s="219"/>
      <c r="G3" s="219"/>
      <c r="H3" s="219"/>
      <c r="K3" s="235" t="s">
        <v>392</v>
      </c>
      <c r="L3" s="234">
        <v>1</v>
      </c>
      <c r="M3" s="234">
        <v>2</v>
      </c>
      <c r="N3" s="234">
        <v>3</v>
      </c>
      <c r="O3" s="234">
        <v>4</v>
      </c>
      <c r="P3" s="234">
        <v>5</v>
      </c>
      <c r="R3" s="238" t="s">
        <v>393</v>
      </c>
      <c r="S3" s="236" t="s">
        <v>24</v>
      </c>
    </row>
    <row r="4" spans="2:19" x14ac:dyDescent="0.25">
      <c r="B4" s="223"/>
      <c r="C4" s="224"/>
      <c r="D4" s="224"/>
      <c r="E4" s="224"/>
      <c r="F4" s="376" t="s">
        <v>394</v>
      </c>
      <c r="G4" s="377"/>
      <c r="H4" s="378"/>
      <c r="K4" s="235" t="s">
        <v>54</v>
      </c>
      <c r="L4" s="234">
        <v>2</v>
      </c>
      <c r="M4" s="234">
        <f t="shared" ref="M4:P7" si="0">$L4*M$3</f>
        <v>4</v>
      </c>
      <c r="N4" s="234">
        <f t="shared" si="0"/>
        <v>6</v>
      </c>
      <c r="O4" s="234">
        <f t="shared" si="0"/>
        <v>8</v>
      </c>
      <c r="P4" s="234">
        <f t="shared" si="0"/>
        <v>10</v>
      </c>
      <c r="R4" s="238" t="s">
        <v>395</v>
      </c>
      <c r="S4" s="237">
        <f>INDEX(L3:P7,MATCH(S3,K3:K7,0),MATCH(S2,L2:P2,0))</f>
        <v>4</v>
      </c>
    </row>
    <row r="5" spans="2:19" x14ac:dyDescent="0.25">
      <c r="B5" s="227" t="s">
        <v>396</v>
      </c>
      <c r="C5" s="228" t="s">
        <v>397</v>
      </c>
      <c r="D5" s="241" t="s">
        <v>398</v>
      </c>
      <c r="E5" s="225" t="s">
        <v>399</v>
      </c>
      <c r="F5" s="231" t="s">
        <v>400</v>
      </c>
      <c r="G5" s="231" t="s">
        <v>389</v>
      </c>
      <c r="H5" s="226" t="s">
        <v>395</v>
      </c>
      <c r="K5" s="235" t="s">
        <v>401</v>
      </c>
      <c r="L5" s="234">
        <v>3</v>
      </c>
      <c r="M5" s="234">
        <f t="shared" si="0"/>
        <v>6</v>
      </c>
      <c r="N5" s="234">
        <f t="shared" si="0"/>
        <v>9</v>
      </c>
      <c r="O5" s="234">
        <f t="shared" si="0"/>
        <v>12</v>
      </c>
      <c r="P5" s="234">
        <f t="shared" si="0"/>
        <v>15</v>
      </c>
    </row>
    <row r="6" spans="2:19" ht="60" x14ac:dyDescent="0.25">
      <c r="B6" s="242">
        <v>1</v>
      </c>
      <c r="C6" s="245" t="s">
        <v>402</v>
      </c>
      <c r="D6" s="244" t="s">
        <v>403</v>
      </c>
      <c r="E6" s="245" t="s">
        <v>404</v>
      </c>
      <c r="F6" s="244" t="s">
        <v>24</v>
      </c>
      <c r="G6" s="229" t="s">
        <v>386</v>
      </c>
      <c r="H6" s="230">
        <f>INDEX(L3:P7,MATCH(F6,K3:K7,0),MATCH(G6,L2:P2,0))</f>
        <v>12</v>
      </c>
      <c r="K6" s="235" t="s">
        <v>24</v>
      </c>
      <c r="L6" s="234">
        <v>4</v>
      </c>
      <c r="M6" s="234">
        <f t="shared" si="0"/>
        <v>8</v>
      </c>
      <c r="N6" s="234">
        <f t="shared" si="0"/>
        <v>12</v>
      </c>
      <c r="O6" s="234">
        <f t="shared" si="0"/>
        <v>16</v>
      </c>
      <c r="P6" s="234">
        <f t="shared" si="0"/>
        <v>20</v>
      </c>
    </row>
    <row r="7" spans="2:19" ht="60" x14ac:dyDescent="0.25">
      <c r="B7" s="243">
        <v>2</v>
      </c>
      <c r="C7" s="243" t="s">
        <v>405</v>
      </c>
      <c r="D7" s="245" t="s">
        <v>406</v>
      </c>
      <c r="E7" s="243" t="s">
        <v>407</v>
      </c>
      <c r="F7" s="233" t="s">
        <v>408</v>
      </c>
      <c r="G7" s="232" t="s">
        <v>386</v>
      </c>
      <c r="H7" s="220">
        <f>INDEX(L3:P7,MATCH(F7,K3:K7,0),MATCH(G7,L2:P2,0))</f>
        <v>15</v>
      </c>
      <c r="K7" s="235" t="s">
        <v>408</v>
      </c>
      <c r="L7" s="234">
        <v>5</v>
      </c>
      <c r="M7" s="234">
        <f t="shared" si="0"/>
        <v>10</v>
      </c>
      <c r="N7" s="234">
        <f t="shared" si="0"/>
        <v>15</v>
      </c>
      <c r="O7" s="234">
        <f t="shared" si="0"/>
        <v>20</v>
      </c>
      <c r="P7" s="234">
        <f t="shared" si="0"/>
        <v>25</v>
      </c>
    </row>
    <row r="8" spans="2:19" ht="75" x14ac:dyDescent="0.25">
      <c r="B8" s="244">
        <v>3</v>
      </c>
      <c r="C8" s="244" t="s">
        <v>409</v>
      </c>
      <c r="D8" s="245" t="s">
        <v>410</v>
      </c>
      <c r="E8" s="244" t="s">
        <v>411</v>
      </c>
      <c r="F8" s="221" t="s">
        <v>401</v>
      </c>
      <c r="G8" s="221" t="s">
        <v>387</v>
      </c>
      <c r="H8" s="221">
        <f>INDEX(L3:P7,MATCH(F8,K3:K7,0),MATCH(G8,L2:P2,0))</f>
        <v>12</v>
      </c>
    </row>
    <row r="9" spans="2:19" ht="45" x14ac:dyDescent="0.25">
      <c r="B9" s="244">
        <v>4</v>
      </c>
      <c r="C9" s="244" t="s">
        <v>412</v>
      </c>
      <c r="D9" s="245" t="s">
        <v>413</v>
      </c>
      <c r="E9" s="244" t="s">
        <v>414</v>
      </c>
      <c r="F9" s="221" t="s">
        <v>24</v>
      </c>
      <c r="G9" s="221" t="s">
        <v>384</v>
      </c>
      <c r="H9" s="221">
        <f>INDEX(L3:P7,MATCH(F8,K3:K7,0),MATCH(G9,L2:P2,0))</f>
        <v>3</v>
      </c>
    </row>
    <row r="10" spans="2:19" ht="75" x14ac:dyDescent="0.25">
      <c r="B10" s="244">
        <v>5</v>
      </c>
      <c r="C10" s="244" t="s">
        <v>415</v>
      </c>
      <c r="D10" s="245" t="s">
        <v>416</v>
      </c>
      <c r="E10" s="244" t="s">
        <v>417</v>
      </c>
      <c r="F10" s="221" t="s">
        <v>401</v>
      </c>
      <c r="G10" s="221" t="s">
        <v>386</v>
      </c>
      <c r="H10" s="221">
        <f>INDEX(L3:P7,MATCH(F10,K3:K7,0),MATCH(G10,L2:P2,0))</f>
        <v>9</v>
      </c>
    </row>
    <row r="11" spans="2:19" ht="75" x14ac:dyDescent="0.25">
      <c r="B11" s="244">
        <v>6</v>
      </c>
      <c r="C11" s="244" t="s">
        <v>418</v>
      </c>
      <c r="D11" s="245" t="s">
        <v>419</v>
      </c>
      <c r="E11" s="244" t="s">
        <v>420</v>
      </c>
      <c r="F11" s="221" t="s">
        <v>24</v>
      </c>
      <c r="G11" s="221" t="s">
        <v>387</v>
      </c>
      <c r="H11" s="221">
        <f>INDEX(L3:P7,MATCH(F11,K3:K7,0),MATCH(G11,L2:P2,0))</f>
        <v>16</v>
      </c>
    </row>
    <row r="12" spans="2:19" ht="60" x14ac:dyDescent="0.25">
      <c r="B12" s="244">
        <v>7</v>
      </c>
      <c r="C12" s="244" t="s">
        <v>421</v>
      </c>
      <c r="D12" s="245" t="s">
        <v>422</v>
      </c>
      <c r="E12" s="244" t="s">
        <v>423</v>
      </c>
      <c r="F12" s="221" t="s">
        <v>54</v>
      </c>
      <c r="G12" s="221" t="s">
        <v>385</v>
      </c>
      <c r="H12" s="221">
        <f>INDEX(L3:P7,MATCH(F12,K3:K7,0),MATCH(G12,L2:P2,0))</f>
        <v>4</v>
      </c>
    </row>
    <row r="13" spans="2:19" ht="60" x14ac:dyDescent="0.25">
      <c r="B13" s="244">
        <v>8</v>
      </c>
      <c r="C13" s="244" t="s">
        <v>424</v>
      </c>
      <c r="D13" s="245" t="s">
        <v>425</v>
      </c>
      <c r="E13" s="244" t="s">
        <v>426</v>
      </c>
      <c r="F13" s="221" t="s">
        <v>401</v>
      </c>
      <c r="G13" s="221" t="s">
        <v>386</v>
      </c>
      <c r="H13" s="221">
        <f>INDEX(L3:P7,MATCH(F13,K3:K7,0),MATCH(G13,L2:P2,0))</f>
        <v>9</v>
      </c>
    </row>
    <row r="14" spans="2:19" ht="60" x14ac:dyDescent="0.25">
      <c r="B14" s="244">
        <v>9</v>
      </c>
      <c r="C14" s="244" t="s">
        <v>427</v>
      </c>
      <c r="D14" s="245" t="s">
        <v>428</v>
      </c>
      <c r="E14" s="244" t="s">
        <v>429</v>
      </c>
      <c r="F14" s="221" t="s">
        <v>401</v>
      </c>
      <c r="G14" s="221" t="s">
        <v>387</v>
      </c>
      <c r="H14" s="221">
        <f>INDEX(L3:P7,MATCH(F14,K3:K7,0),MATCH(G14,L2:P2,0))</f>
        <v>12</v>
      </c>
    </row>
    <row r="15" spans="2:19" ht="60" x14ac:dyDescent="0.25">
      <c r="B15" s="244">
        <v>10</v>
      </c>
      <c r="C15" s="244" t="s">
        <v>430</v>
      </c>
      <c r="D15" s="245" t="s">
        <v>431</v>
      </c>
      <c r="E15" s="244" t="s">
        <v>432</v>
      </c>
      <c r="F15" s="221" t="s">
        <v>54</v>
      </c>
      <c r="G15" s="221" t="s">
        <v>387</v>
      </c>
      <c r="H15" s="221">
        <f>INDEX(L3:P7,MATCH(F15,K3:K7,0),MATCH(G15,L2:P2,0))</f>
        <v>8</v>
      </c>
    </row>
    <row r="16" spans="2:19" ht="60" x14ac:dyDescent="0.25">
      <c r="B16" s="244">
        <v>11</v>
      </c>
      <c r="C16" s="244" t="s">
        <v>433</v>
      </c>
      <c r="D16" s="245" t="s">
        <v>434</v>
      </c>
      <c r="E16" s="244" t="s">
        <v>435</v>
      </c>
      <c r="F16" s="221" t="s">
        <v>401</v>
      </c>
      <c r="G16" s="221" t="s">
        <v>388</v>
      </c>
      <c r="H16" s="221">
        <f>INDEX(L3:P7,MATCH(F16,K3:K7,0),MATCH(G16,L2:P2,0))</f>
        <v>15</v>
      </c>
    </row>
    <row r="17" spans="2:8" ht="60" x14ac:dyDescent="0.25">
      <c r="B17" s="244">
        <v>12</v>
      </c>
      <c r="C17" s="244" t="s">
        <v>436</v>
      </c>
      <c r="D17" s="245" t="s">
        <v>437</v>
      </c>
      <c r="E17" s="244" t="s">
        <v>438</v>
      </c>
      <c r="F17" s="221" t="s">
        <v>24</v>
      </c>
      <c r="G17" s="221" t="s">
        <v>385</v>
      </c>
      <c r="H17" s="221">
        <f>INDEX(L3:P7,MATCH(F17,K3:K7,0),MATCH(G17,L2:P2,0))</f>
        <v>8</v>
      </c>
    </row>
  </sheetData>
  <mergeCells count="3">
    <mergeCell ref="B3:C3"/>
    <mergeCell ref="B2:H2"/>
    <mergeCell ref="F4:H4"/>
  </mergeCells>
  <conditionalFormatting sqref="H6:H17">
    <cfRule type="cellIs" dxfId="10" priority="1" operator="greaterThan">
      <formula>14</formula>
    </cfRule>
    <cfRule type="cellIs" dxfId="9" priority="2" operator="between">
      <formula>5</formula>
      <formula>12</formula>
    </cfRule>
    <cfRule type="cellIs" dxfId="8" priority="3" operator="lessThan">
      <formula>6</formula>
    </cfRule>
  </conditionalFormatting>
  <conditionalFormatting sqref="L3:P7">
    <cfRule type="cellIs" dxfId="7" priority="4" operator="greaterThan">
      <formula>13</formula>
    </cfRule>
    <cfRule type="cellIs" dxfId="6" priority="5" operator="greaterThan">
      <formula>5</formula>
    </cfRule>
    <cfRule type="cellIs" dxfId="5" priority="6" operator="lessThan">
      <formula>6</formula>
    </cfRule>
    <cfRule type="cellIs" dxfId="4" priority="7" operator="between">
      <formula>1</formula>
      <formula>5</formula>
    </cfRule>
  </conditionalFormatting>
  <conditionalFormatting sqref="N4:P4 M5:P7">
    <cfRule type="cellIs" dxfId="3" priority="8" operator="between">
      <formula>15</formula>
      <formula>25</formula>
    </cfRule>
    <cfRule type="cellIs" dxfId="2" priority="9" operator="between">
      <formula>9</formula>
      <formula>12</formula>
    </cfRule>
    <cfRule type="cellIs" dxfId="1" priority="10" operator="between">
      <formula>6</formula>
      <formula>8</formula>
    </cfRule>
    <cfRule type="cellIs" dxfId="0" priority="11" operator="between">
      <formula>1</formula>
      <formula>5</formula>
    </cfRule>
  </conditionalFormatting>
  <dataValidations count="2">
    <dataValidation type="list" allowBlank="1" showInputMessage="1" showErrorMessage="1" sqref="S2 G6:G20" xr:uid="{9C0DCDA3-97FA-4500-8466-D609F3BBAAA5}">
      <formula1>$L$2:$P$2</formula1>
    </dataValidation>
    <dataValidation type="list" allowBlank="1" showInputMessage="1" showErrorMessage="1" sqref="S3 F6:F20" xr:uid="{0506F89D-62DC-4F36-9978-7486581860CB}">
      <formula1>$K$3:$K$7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0AA2-8E1B-4E0D-8B5A-B4C3A6D91FF1}">
  <dimension ref="A1:Q196"/>
  <sheetViews>
    <sheetView topLeftCell="A172" zoomScale="115" zoomScaleNormal="115" workbookViewId="0">
      <selection activeCell="A139" sqref="A139:Q196"/>
    </sheetView>
  </sheetViews>
  <sheetFormatPr defaultRowHeight="15" x14ac:dyDescent="0.25"/>
  <cols>
    <col min="2" max="2" width="9.140625" style="22"/>
    <col min="3" max="3" width="46.7109375" bestFit="1" customWidth="1"/>
    <col min="4" max="4" width="9.28515625" customWidth="1"/>
    <col min="5" max="5" width="9.42578125" customWidth="1"/>
    <col min="6" max="6" width="9" customWidth="1"/>
    <col min="7" max="7" width="8.42578125" customWidth="1"/>
    <col min="8" max="8" width="14.42578125" bestFit="1" customWidth="1"/>
    <col min="9" max="9" width="9.7109375" bestFit="1" customWidth="1"/>
    <col min="10" max="10" width="10.7109375" bestFit="1" customWidth="1"/>
    <col min="11" max="11" width="2.7109375" customWidth="1"/>
    <col min="12" max="13" width="14.42578125" bestFit="1" customWidth="1"/>
    <col min="14" max="14" width="14.5703125" customWidth="1"/>
    <col min="16" max="16" width="9.140625" customWidth="1"/>
    <col min="17" max="17" width="20.5703125" customWidth="1"/>
  </cols>
  <sheetData>
    <row r="1" spans="1:17" ht="25.5" x14ac:dyDescent="0.35">
      <c r="B1" s="248" t="s">
        <v>439</v>
      </c>
      <c r="C1" s="248"/>
      <c r="D1" s="249"/>
      <c r="E1" s="249"/>
      <c r="F1" s="249"/>
      <c r="G1" s="249"/>
      <c r="H1" s="249"/>
      <c r="I1" s="249"/>
      <c r="J1" s="249"/>
      <c r="K1" s="249"/>
      <c r="L1" s="250"/>
      <c r="M1" s="251"/>
      <c r="N1" s="252"/>
    </row>
    <row r="2" spans="1:17" ht="13.5" customHeight="1" x14ac:dyDescent="0.25"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</row>
    <row r="3" spans="1:17" ht="15.75" x14ac:dyDescent="0.25">
      <c r="A3" s="23"/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379" t="s">
        <v>440</v>
      </c>
      <c r="M3" s="379"/>
      <c r="N3" s="379"/>
    </row>
    <row r="4" spans="1:17" ht="15.75" x14ac:dyDescent="0.25">
      <c r="A4" s="330"/>
      <c r="B4" s="332"/>
      <c r="C4" s="332"/>
      <c r="D4" s="250"/>
      <c r="E4" s="250"/>
      <c r="F4" s="250"/>
      <c r="G4" s="250"/>
      <c r="H4" s="250"/>
      <c r="I4" s="250"/>
      <c r="J4" s="250"/>
      <c r="K4" s="250"/>
      <c r="L4" s="253" t="s">
        <v>441</v>
      </c>
      <c r="M4" s="253" t="s">
        <v>442</v>
      </c>
      <c r="N4" s="253" t="s">
        <v>443</v>
      </c>
      <c r="Q4" s="328" t="s">
        <v>444</v>
      </c>
    </row>
    <row r="5" spans="1:17" ht="15.75" x14ac:dyDescent="0.25">
      <c r="A5" s="331"/>
      <c r="B5" s="332"/>
      <c r="C5" s="332"/>
      <c r="D5" s="254"/>
      <c r="E5" s="254"/>
      <c r="F5" s="254"/>
      <c r="G5" s="250"/>
      <c r="K5" s="267"/>
      <c r="L5" s="255">
        <f>L9+L18+L28+L40+L48+L55+L67+L74</f>
        <v>500000</v>
      </c>
      <c r="M5" s="255">
        <f>M9+M18+M28+M40+M48+M55+M67+M74</f>
        <v>21878</v>
      </c>
      <c r="N5" s="255">
        <f>SUM(N9,N18,N28,N40,N48,N55,N67,N74)</f>
        <v>478122</v>
      </c>
      <c r="Q5" s="329">
        <v>50000</v>
      </c>
    </row>
    <row r="6" spans="1:17" x14ac:dyDescent="0.25">
      <c r="A6" s="331"/>
      <c r="B6" s="332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</row>
    <row r="7" spans="1:17" ht="15.75" x14ac:dyDescent="0.25">
      <c r="A7" s="331"/>
      <c r="B7" s="332"/>
      <c r="C7" s="250"/>
      <c r="D7" s="379" t="s">
        <v>445</v>
      </c>
      <c r="E7" s="379"/>
      <c r="F7" s="379" t="s">
        <v>446</v>
      </c>
      <c r="G7" s="379"/>
      <c r="H7" s="380" t="s">
        <v>447</v>
      </c>
      <c r="I7" s="380"/>
      <c r="J7" s="380"/>
      <c r="K7" s="253"/>
      <c r="L7" s="253"/>
      <c r="M7" s="253"/>
      <c r="N7" s="250"/>
    </row>
    <row r="8" spans="1:17" ht="15.75" x14ac:dyDescent="0.25">
      <c r="A8" s="21"/>
      <c r="B8" s="256" t="s">
        <v>448</v>
      </c>
      <c r="C8" s="256" t="s">
        <v>449</v>
      </c>
      <c r="D8" s="257" t="s">
        <v>450</v>
      </c>
      <c r="E8" s="257" t="s">
        <v>451</v>
      </c>
      <c r="F8" s="257" t="s">
        <v>452</v>
      </c>
      <c r="G8" s="257" t="s">
        <v>453</v>
      </c>
      <c r="H8" s="256" t="s">
        <v>454</v>
      </c>
      <c r="I8" s="256" t="s">
        <v>455</v>
      </c>
      <c r="J8" s="256" t="s">
        <v>456</v>
      </c>
      <c r="K8" s="257"/>
      <c r="L8" s="258" t="s">
        <v>457</v>
      </c>
      <c r="M8" s="258" t="s">
        <v>458</v>
      </c>
      <c r="N8" s="258" t="s">
        <v>443</v>
      </c>
    </row>
    <row r="9" spans="1:17" x14ac:dyDescent="0.25">
      <c r="A9" s="21"/>
      <c r="B9" s="259">
        <v>1.1000000000000001</v>
      </c>
      <c r="C9" s="260" t="s">
        <v>163</v>
      </c>
      <c r="D9" s="261">
        <f>SUM(D10:D17)</f>
        <v>284</v>
      </c>
      <c r="E9" s="261">
        <f>SUM(E10:E17)</f>
        <v>200</v>
      </c>
      <c r="F9" s="261" t="s">
        <v>55</v>
      </c>
      <c r="G9" s="261" t="s">
        <v>55</v>
      </c>
      <c r="H9" s="261" t="s">
        <v>55</v>
      </c>
      <c r="I9" s="261" t="s">
        <v>55</v>
      </c>
      <c r="J9" s="261"/>
      <c r="K9" s="261"/>
      <c r="L9" s="262">
        <f>SUM(L10:L17)</f>
        <v>10000</v>
      </c>
      <c r="M9" s="262">
        <f>SUM(M10:M17)</f>
        <v>8590</v>
      </c>
      <c r="N9" s="262">
        <f>SUM(N10:N17)</f>
        <v>1410</v>
      </c>
    </row>
    <row r="10" spans="1:17" x14ac:dyDescent="0.25">
      <c r="A10" s="21"/>
      <c r="B10" s="263" t="s">
        <v>164</v>
      </c>
      <c r="C10" s="264" t="s">
        <v>165</v>
      </c>
      <c r="D10" s="264">
        <v>28</v>
      </c>
      <c r="E10" s="265">
        <v>15</v>
      </c>
      <c r="F10" s="264">
        <v>0</v>
      </c>
      <c r="G10" s="265">
        <v>0</v>
      </c>
      <c r="H10" s="265">
        <v>20</v>
      </c>
      <c r="I10" s="265">
        <v>0</v>
      </c>
      <c r="J10" s="265">
        <v>60</v>
      </c>
      <c r="K10" s="264"/>
      <c r="L10" s="285">
        <f>(D10*E10)+(F10*G10)+(SUM(H10:J10))</f>
        <v>500</v>
      </c>
      <c r="M10" s="265">
        <v>700</v>
      </c>
      <c r="N10" s="285">
        <f>L10-M10</f>
        <v>-200</v>
      </c>
    </row>
    <row r="11" spans="1:17" ht="15" customHeight="1" x14ac:dyDescent="0.25">
      <c r="A11" s="21"/>
      <c r="B11" s="263" t="s">
        <v>167</v>
      </c>
      <c r="C11" s="286" t="s">
        <v>0</v>
      </c>
      <c r="D11" s="264">
        <v>28</v>
      </c>
      <c r="E11" s="265">
        <v>30</v>
      </c>
      <c r="F11" s="264">
        <v>0</v>
      </c>
      <c r="G11" s="265">
        <v>0</v>
      </c>
      <c r="H11" s="265">
        <v>0</v>
      </c>
      <c r="I11" s="265">
        <v>500</v>
      </c>
      <c r="J11" s="265">
        <v>160</v>
      </c>
      <c r="K11" s="264"/>
      <c r="L11" s="285">
        <f t="shared" ref="L11:L17" si="0">(D11*E11)+(F11*G11)+(SUM(H11:J11))</f>
        <v>1500</v>
      </c>
      <c r="M11" s="265">
        <v>1243</v>
      </c>
      <c r="N11" s="285">
        <f t="shared" ref="N11:N17" si="1">L11-M11</f>
        <v>257</v>
      </c>
    </row>
    <row r="12" spans="1:17" ht="15" customHeight="1" x14ac:dyDescent="0.25">
      <c r="A12" s="21"/>
      <c r="B12" s="263" t="s">
        <v>169</v>
      </c>
      <c r="C12" s="286" t="s">
        <v>170</v>
      </c>
      <c r="D12" s="264">
        <v>56</v>
      </c>
      <c r="E12" s="265">
        <v>15</v>
      </c>
      <c r="F12" s="264">
        <v>0</v>
      </c>
      <c r="G12" s="265">
        <v>0</v>
      </c>
      <c r="H12" s="265">
        <v>100</v>
      </c>
      <c r="I12" s="265">
        <v>0</v>
      </c>
      <c r="J12" s="265">
        <v>60</v>
      </c>
      <c r="K12" s="264"/>
      <c r="L12" s="285">
        <f t="shared" si="0"/>
        <v>1000</v>
      </c>
      <c r="M12" s="265">
        <v>659</v>
      </c>
      <c r="N12" s="285">
        <f>L12-M12</f>
        <v>341</v>
      </c>
    </row>
    <row r="13" spans="1:17" x14ac:dyDescent="0.25">
      <c r="A13" s="21"/>
      <c r="B13" s="263" t="s">
        <v>175</v>
      </c>
      <c r="C13" s="287" t="s">
        <v>176</v>
      </c>
      <c r="D13" s="264">
        <v>56</v>
      </c>
      <c r="E13" s="265">
        <v>20</v>
      </c>
      <c r="F13" s="264">
        <v>0</v>
      </c>
      <c r="G13" s="265">
        <v>0</v>
      </c>
      <c r="H13" s="265">
        <v>0</v>
      </c>
      <c r="I13" s="265">
        <v>280</v>
      </c>
      <c r="J13" s="265">
        <v>600</v>
      </c>
      <c r="K13" s="264"/>
      <c r="L13" s="285">
        <f t="shared" si="0"/>
        <v>2000</v>
      </c>
      <c r="M13" s="265">
        <v>1900</v>
      </c>
      <c r="N13" s="285">
        <f t="shared" si="1"/>
        <v>100</v>
      </c>
    </row>
    <row r="14" spans="1:17" ht="15.75" customHeight="1" x14ac:dyDescent="0.25">
      <c r="A14" s="21"/>
      <c r="B14" s="263" t="s">
        <v>177</v>
      </c>
      <c r="C14" s="288" t="s">
        <v>178</v>
      </c>
      <c r="D14" s="264">
        <v>56</v>
      </c>
      <c r="E14" s="265">
        <v>35</v>
      </c>
      <c r="F14" s="264">
        <v>0</v>
      </c>
      <c r="G14" s="265">
        <v>0</v>
      </c>
      <c r="H14" s="265">
        <v>300</v>
      </c>
      <c r="I14" s="265">
        <v>0</v>
      </c>
      <c r="J14" s="265">
        <v>240</v>
      </c>
      <c r="K14" s="264"/>
      <c r="L14" s="285">
        <f t="shared" si="0"/>
        <v>2500</v>
      </c>
      <c r="M14" s="265">
        <v>1769</v>
      </c>
      <c r="N14" s="285">
        <f t="shared" si="1"/>
        <v>731</v>
      </c>
    </row>
    <row r="15" spans="1:17" x14ac:dyDescent="0.25">
      <c r="A15" s="21"/>
      <c r="B15" s="263" t="s">
        <v>180</v>
      </c>
      <c r="C15" s="288" t="s">
        <v>181</v>
      </c>
      <c r="D15" s="264">
        <v>20</v>
      </c>
      <c r="E15" s="265">
        <v>35</v>
      </c>
      <c r="F15" s="264">
        <v>0</v>
      </c>
      <c r="G15" s="265">
        <v>0</v>
      </c>
      <c r="H15" s="265">
        <v>0</v>
      </c>
      <c r="I15" s="265">
        <v>0</v>
      </c>
      <c r="J15" s="265">
        <v>300</v>
      </c>
      <c r="K15" s="264"/>
      <c r="L15" s="285">
        <f t="shared" si="0"/>
        <v>1000</v>
      </c>
      <c r="M15" s="265">
        <v>955</v>
      </c>
      <c r="N15" s="285">
        <f t="shared" si="1"/>
        <v>45</v>
      </c>
    </row>
    <row r="16" spans="1:17" x14ac:dyDescent="0.25">
      <c r="A16" s="21"/>
      <c r="B16" s="263" t="s">
        <v>182</v>
      </c>
      <c r="C16" s="288" t="s">
        <v>183</v>
      </c>
      <c r="D16" s="264">
        <v>20</v>
      </c>
      <c r="E16" s="265">
        <v>35</v>
      </c>
      <c r="F16" s="264">
        <v>0</v>
      </c>
      <c r="G16" s="265">
        <v>0</v>
      </c>
      <c r="H16" s="265">
        <v>200</v>
      </c>
      <c r="I16" s="265">
        <v>0</v>
      </c>
      <c r="J16" s="265">
        <v>100</v>
      </c>
      <c r="K16" s="264"/>
      <c r="L16" s="285">
        <f t="shared" si="0"/>
        <v>1000</v>
      </c>
      <c r="M16" s="265">
        <v>865</v>
      </c>
      <c r="N16" s="285">
        <f t="shared" si="1"/>
        <v>135</v>
      </c>
    </row>
    <row r="17" spans="1:14" x14ac:dyDescent="0.25">
      <c r="A17" s="21"/>
      <c r="B17" s="263" t="s">
        <v>185</v>
      </c>
      <c r="C17" s="288" t="s">
        <v>186</v>
      </c>
      <c r="D17" s="264">
        <v>20</v>
      </c>
      <c r="E17" s="265">
        <v>15</v>
      </c>
      <c r="F17" s="264">
        <v>0</v>
      </c>
      <c r="G17" s="265">
        <v>0</v>
      </c>
      <c r="H17" s="265">
        <v>50</v>
      </c>
      <c r="I17" s="265">
        <v>0</v>
      </c>
      <c r="J17" s="265">
        <v>150</v>
      </c>
      <c r="K17" s="264"/>
      <c r="L17" s="285">
        <f t="shared" si="0"/>
        <v>500</v>
      </c>
      <c r="M17" s="265">
        <v>499</v>
      </c>
      <c r="N17" s="285">
        <f t="shared" si="1"/>
        <v>1</v>
      </c>
    </row>
    <row r="18" spans="1:14" x14ac:dyDescent="0.25">
      <c r="A18" s="21"/>
      <c r="B18" s="259">
        <v>1.2</v>
      </c>
      <c r="C18" s="260" t="s">
        <v>459</v>
      </c>
      <c r="D18" s="261" t="s">
        <v>55</v>
      </c>
      <c r="E18" s="321" t="s">
        <v>55</v>
      </c>
      <c r="F18" s="261" t="s">
        <v>55</v>
      </c>
      <c r="G18" s="321" t="s">
        <v>55</v>
      </c>
      <c r="H18" s="321" t="s">
        <v>55</v>
      </c>
      <c r="I18" s="321" t="s">
        <v>55</v>
      </c>
      <c r="J18" s="321"/>
      <c r="K18" s="261"/>
      <c r="L18" s="262">
        <f>SUM(L19,L20,L21,L24)</f>
        <v>30000</v>
      </c>
      <c r="M18" s="262">
        <f>SUM(M19,M20,M21,M24)</f>
        <v>13288</v>
      </c>
      <c r="N18" s="262">
        <f>SUM(N19,N20,N21,N24)</f>
        <v>16712</v>
      </c>
    </row>
    <row r="19" spans="1:14" x14ac:dyDescent="0.25">
      <c r="A19" s="21"/>
      <c r="B19" s="263" t="s">
        <v>190</v>
      </c>
      <c r="C19" s="289" t="s">
        <v>460</v>
      </c>
      <c r="D19" s="264">
        <v>112</v>
      </c>
      <c r="E19" s="265">
        <v>50</v>
      </c>
      <c r="F19" s="264">
        <v>5</v>
      </c>
      <c r="G19" s="265">
        <v>100</v>
      </c>
      <c r="H19" s="265">
        <v>300</v>
      </c>
      <c r="I19" s="265">
        <v>0</v>
      </c>
      <c r="J19" s="265">
        <v>600</v>
      </c>
      <c r="K19" s="264"/>
      <c r="L19" s="285">
        <f>(D19*E19)+(F19*G19)+(SUM(H19:J19))</f>
        <v>7000</v>
      </c>
      <c r="M19" s="265">
        <v>5688</v>
      </c>
      <c r="N19" s="285">
        <f>L19-M19</f>
        <v>1312</v>
      </c>
    </row>
    <row r="20" spans="1:14" ht="16.5" customHeight="1" x14ac:dyDescent="0.25">
      <c r="A20" s="21"/>
      <c r="B20" s="263" t="s">
        <v>193</v>
      </c>
      <c r="C20" s="289" t="s">
        <v>194</v>
      </c>
      <c r="D20" s="264">
        <v>112</v>
      </c>
      <c r="E20" s="265">
        <v>60</v>
      </c>
      <c r="F20" s="264">
        <v>5</v>
      </c>
      <c r="G20" s="265">
        <v>60</v>
      </c>
      <c r="H20" s="265">
        <v>380</v>
      </c>
      <c r="I20" s="265">
        <v>0</v>
      </c>
      <c r="J20" s="265">
        <v>600</v>
      </c>
      <c r="K20" s="264"/>
      <c r="L20" s="285">
        <f t="shared" ref="L20:L27" si="2">(D20*E20)+(F20*G20)+(SUM(H20:J20))</f>
        <v>8000</v>
      </c>
      <c r="M20" s="265">
        <v>7600</v>
      </c>
      <c r="N20" s="285">
        <f t="shared" ref="N20:N27" si="3">L20-M20</f>
        <v>400</v>
      </c>
    </row>
    <row r="21" spans="1:14" x14ac:dyDescent="0.25">
      <c r="A21" s="21"/>
      <c r="B21" s="322" t="s">
        <v>461</v>
      </c>
      <c r="C21" s="322" t="s">
        <v>462</v>
      </c>
      <c r="D21" s="323">
        <f>SUM(D22:D23)</f>
        <v>56</v>
      </c>
      <c r="E21" s="324">
        <f>SUM(E22:E23)</f>
        <v>70</v>
      </c>
      <c r="F21" s="323">
        <f t="shared" ref="F21:J21" si="4">SUM(F22:F23)</f>
        <v>0</v>
      </c>
      <c r="G21" s="324">
        <f t="shared" si="4"/>
        <v>0</v>
      </c>
      <c r="H21" s="324">
        <f t="shared" si="4"/>
        <v>390</v>
      </c>
      <c r="I21" s="324">
        <f t="shared" si="4"/>
        <v>140</v>
      </c>
      <c r="J21" s="324">
        <f t="shared" si="4"/>
        <v>510</v>
      </c>
      <c r="K21" s="323"/>
      <c r="L21" s="326">
        <f>SUM(L22:L23)</f>
        <v>3000</v>
      </c>
      <c r="M21" s="324">
        <v>0</v>
      </c>
      <c r="N21" s="326">
        <f t="shared" si="3"/>
        <v>3000</v>
      </c>
    </row>
    <row r="22" spans="1:14" x14ac:dyDescent="0.25">
      <c r="A22" s="21"/>
      <c r="B22" s="263" t="s">
        <v>197</v>
      </c>
      <c r="C22" s="290" t="s">
        <v>463</v>
      </c>
      <c r="D22" s="264">
        <v>14</v>
      </c>
      <c r="E22" s="265">
        <v>35</v>
      </c>
      <c r="F22" s="264">
        <v>0</v>
      </c>
      <c r="G22" s="265">
        <v>0</v>
      </c>
      <c r="H22" s="265">
        <v>200</v>
      </c>
      <c r="I22" s="265">
        <v>140</v>
      </c>
      <c r="J22" s="265">
        <v>170</v>
      </c>
      <c r="K22" s="264"/>
      <c r="L22" s="285">
        <f t="shared" si="2"/>
        <v>1000</v>
      </c>
      <c r="M22" s="265">
        <v>800</v>
      </c>
      <c r="N22" s="285">
        <f t="shared" si="3"/>
        <v>200</v>
      </c>
    </row>
    <row r="23" spans="1:14" x14ac:dyDescent="0.25">
      <c r="A23" s="21"/>
      <c r="B23" s="263" t="s">
        <v>200</v>
      </c>
      <c r="C23" s="289" t="s">
        <v>464</v>
      </c>
      <c r="D23" s="264">
        <v>42</v>
      </c>
      <c r="E23" s="265">
        <v>35</v>
      </c>
      <c r="F23" s="264">
        <v>0</v>
      </c>
      <c r="G23" s="265">
        <v>0</v>
      </c>
      <c r="H23" s="265">
        <v>190</v>
      </c>
      <c r="I23" s="265">
        <v>0</v>
      </c>
      <c r="J23" s="265">
        <v>340</v>
      </c>
      <c r="K23" s="264"/>
      <c r="L23" s="285">
        <f t="shared" si="2"/>
        <v>2000</v>
      </c>
      <c r="M23" s="265">
        <v>2300</v>
      </c>
      <c r="N23" s="285">
        <f t="shared" si="3"/>
        <v>-300</v>
      </c>
    </row>
    <row r="24" spans="1:14" ht="15" customHeight="1" x14ac:dyDescent="0.25">
      <c r="A24" s="21"/>
      <c r="B24" s="322" t="s">
        <v>465</v>
      </c>
      <c r="C24" s="325" t="s">
        <v>466</v>
      </c>
      <c r="D24" s="323">
        <f>SUM(D25:D27)</f>
        <v>168</v>
      </c>
      <c r="E24" s="324">
        <f>SUM(E25:E27)</f>
        <v>150</v>
      </c>
      <c r="F24" s="323">
        <f t="shared" ref="F24:H24" si="5">SUM(F25:F27)</f>
        <v>10</v>
      </c>
      <c r="G24" s="324">
        <f>SUM(G25:G27)</f>
        <v>20</v>
      </c>
      <c r="H24" s="324">
        <f t="shared" si="5"/>
        <v>600</v>
      </c>
      <c r="I24" s="324">
        <f t="shared" ref="I24" si="6">SUM(I25:I27)</f>
        <v>240</v>
      </c>
      <c r="J24" s="324">
        <f t="shared" ref="J24" si="7">SUM(J25:J27)</f>
        <v>1580</v>
      </c>
      <c r="K24" s="323"/>
      <c r="L24" s="326">
        <f>SUM(L25:L27)</f>
        <v>12000</v>
      </c>
      <c r="M24" s="324">
        <v>0</v>
      </c>
      <c r="N24" s="326">
        <f t="shared" si="3"/>
        <v>12000</v>
      </c>
    </row>
    <row r="25" spans="1:14" x14ac:dyDescent="0.25">
      <c r="A25" s="21"/>
      <c r="B25" s="263" t="s">
        <v>202</v>
      </c>
      <c r="C25" s="289" t="s">
        <v>467</v>
      </c>
      <c r="D25" s="264">
        <v>84</v>
      </c>
      <c r="E25" s="265">
        <v>55</v>
      </c>
      <c r="F25" s="264">
        <v>0</v>
      </c>
      <c r="G25" s="265">
        <v>0</v>
      </c>
      <c r="H25" s="265">
        <v>300</v>
      </c>
      <c r="I25" s="265">
        <v>0</v>
      </c>
      <c r="J25" s="265">
        <v>580</v>
      </c>
      <c r="K25" s="264"/>
      <c r="L25" s="285">
        <f t="shared" si="2"/>
        <v>5500</v>
      </c>
      <c r="M25" s="265">
        <v>4700</v>
      </c>
      <c r="N25" s="285">
        <f t="shared" si="3"/>
        <v>800</v>
      </c>
    </row>
    <row r="26" spans="1:14" x14ac:dyDescent="0.25">
      <c r="A26" s="21"/>
      <c r="B26" s="263" t="s">
        <v>207</v>
      </c>
      <c r="C26" s="291" t="s">
        <v>468</v>
      </c>
      <c r="D26" s="264">
        <v>28</v>
      </c>
      <c r="E26" s="265">
        <v>20</v>
      </c>
      <c r="F26" s="264">
        <v>0</v>
      </c>
      <c r="G26" s="265">
        <v>0</v>
      </c>
      <c r="H26" s="265">
        <v>0</v>
      </c>
      <c r="I26" s="265">
        <v>240</v>
      </c>
      <c r="J26" s="265">
        <v>200</v>
      </c>
      <c r="K26" s="264"/>
      <c r="L26" s="285">
        <f t="shared" si="2"/>
        <v>1000</v>
      </c>
      <c r="M26" s="265">
        <v>700</v>
      </c>
      <c r="N26" s="285">
        <f t="shared" si="3"/>
        <v>300</v>
      </c>
    </row>
    <row r="27" spans="1:14" x14ac:dyDescent="0.25">
      <c r="A27" s="21"/>
      <c r="B27" s="263" t="s">
        <v>209</v>
      </c>
      <c r="C27" s="292" t="s">
        <v>469</v>
      </c>
      <c r="D27" s="264">
        <v>56</v>
      </c>
      <c r="E27" s="265">
        <v>75</v>
      </c>
      <c r="F27" s="264">
        <v>10</v>
      </c>
      <c r="G27" s="265">
        <v>20</v>
      </c>
      <c r="H27" s="265">
        <v>300</v>
      </c>
      <c r="I27" s="265">
        <v>0</v>
      </c>
      <c r="J27" s="265">
        <v>800</v>
      </c>
      <c r="K27" s="264"/>
      <c r="L27" s="285">
        <f t="shared" si="2"/>
        <v>5500</v>
      </c>
      <c r="M27" s="265">
        <v>4600</v>
      </c>
      <c r="N27" s="285">
        <f t="shared" si="3"/>
        <v>900</v>
      </c>
    </row>
    <row r="28" spans="1:14" x14ac:dyDescent="0.25">
      <c r="A28" s="21"/>
      <c r="B28" s="259">
        <v>1.3</v>
      </c>
      <c r="C28" s="260" t="s">
        <v>459</v>
      </c>
      <c r="D28" s="261" t="s">
        <v>55</v>
      </c>
      <c r="E28" s="321" t="s">
        <v>55</v>
      </c>
      <c r="F28" s="261" t="s">
        <v>55</v>
      </c>
      <c r="G28" s="321" t="s">
        <v>55</v>
      </c>
      <c r="H28" s="321" t="s">
        <v>55</v>
      </c>
      <c r="I28" s="321" t="s">
        <v>55</v>
      </c>
      <c r="J28" s="321"/>
      <c r="K28" s="261"/>
      <c r="L28" s="262">
        <f>SUM(L29,L37)</f>
        <v>120000</v>
      </c>
      <c r="M28" s="262">
        <f>SUM(M29,M37)</f>
        <v>0</v>
      </c>
      <c r="N28" s="262">
        <f>SUM(N29,N37)</f>
        <v>120000</v>
      </c>
    </row>
    <row r="29" spans="1:14" x14ac:dyDescent="0.25">
      <c r="A29" s="21"/>
      <c r="B29" s="322" t="s">
        <v>470</v>
      </c>
      <c r="C29" s="323" t="s">
        <v>471</v>
      </c>
      <c r="D29" s="323">
        <f>SUM(D30:D36)</f>
        <v>784</v>
      </c>
      <c r="E29" s="324">
        <f>SUM(E30:E36)</f>
        <v>1022</v>
      </c>
      <c r="F29" s="323">
        <f t="shared" ref="F29:H29" si="8">SUM(F30:F36)</f>
        <v>3</v>
      </c>
      <c r="G29" s="324">
        <f>SUM(G30:G36)</f>
        <v>60</v>
      </c>
      <c r="H29" s="324">
        <f t="shared" si="8"/>
        <v>550</v>
      </c>
      <c r="I29" s="324">
        <f t="shared" ref="I29" si="9">SUM(I30:I36)</f>
        <v>0</v>
      </c>
      <c r="J29" s="324">
        <f t="shared" ref="J29" si="10">SUM(J30:J36)</f>
        <v>3206</v>
      </c>
      <c r="K29" s="323"/>
      <c r="L29" s="326">
        <f>SUM(L30:L36)</f>
        <v>110000</v>
      </c>
      <c r="M29" s="324">
        <v>0</v>
      </c>
      <c r="N29" s="326">
        <f>L29-M29</f>
        <v>110000</v>
      </c>
    </row>
    <row r="30" spans="1:14" x14ac:dyDescent="0.25">
      <c r="A30" s="21"/>
      <c r="B30" s="263" t="s">
        <v>215</v>
      </c>
      <c r="C30" s="295" t="s">
        <v>472</v>
      </c>
      <c r="D30" s="264">
        <v>168</v>
      </c>
      <c r="E30" s="265">
        <v>115</v>
      </c>
      <c r="F30" s="264">
        <v>0</v>
      </c>
      <c r="G30" s="265">
        <v>0</v>
      </c>
      <c r="H30" s="265">
        <v>80</v>
      </c>
      <c r="I30" s="265">
        <v>0</v>
      </c>
      <c r="J30" s="265">
        <v>600</v>
      </c>
      <c r="K30" s="264"/>
      <c r="L30" s="285">
        <f>D30*E30+F30*G30+SUM(H30:J30)</f>
        <v>20000</v>
      </c>
      <c r="M30" s="265">
        <v>0</v>
      </c>
      <c r="N30" s="285">
        <f t="shared" ref="N30:N39" si="11">L30-M30</f>
        <v>20000</v>
      </c>
    </row>
    <row r="31" spans="1:14" x14ac:dyDescent="0.25">
      <c r="A31" s="21"/>
      <c r="B31" s="263" t="s">
        <v>218</v>
      </c>
      <c r="C31" s="296" t="s">
        <v>473</v>
      </c>
      <c r="D31" s="264">
        <v>168</v>
      </c>
      <c r="E31" s="265">
        <v>115</v>
      </c>
      <c r="F31" s="264">
        <v>0</v>
      </c>
      <c r="G31" s="265">
        <v>0</v>
      </c>
      <c r="H31" s="265">
        <v>80</v>
      </c>
      <c r="I31" s="265">
        <v>0</v>
      </c>
      <c r="J31" s="265">
        <v>600</v>
      </c>
      <c r="K31" s="264"/>
      <c r="L31" s="285">
        <f t="shared" ref="L31:L36" si="12">D31*E31+F31*G31+SUM(H31:J31)</f>
        <v>20000</v>
      </c>
      <c r="M31" s="265">
        <v>0</v>
      </c>
      <c r="N31" s="285">
        <f t="shared" si="11"/>
        <v>20000</v>
      </c>
    </row>
    <row r="32" spans="1:14" ht="15.75" customHeight="1" x14ac:dyDescent="0.25">
      <c r="A32" s="21"/>
      <c r="B32" s="263" t="s">
        <v>220</v>
      </c>
      <c r="C32" s="297" t="s">
        <v>474</v>
      </c>
      <c r="D32" s="264">
        <v>112</v>
      </c>
      <c r="E32" s="265">
        <v>130</v>
      </c>
      <c r="F32" s="264">
        <v>3</v>
      </c>
      <c r="G32" s="265">
        <v>60</v>
      </c>
      <c r="H32" s="265">
        <v>20</v>
      </c>
      <c r="I32" s="265">
        <v>0</v>
      </c>
      <c r="J32" s="265">
        <v>240</v>
      </c>
      <c r="K32" s="264"/>
      <c r="L32" s="285">
        <f t="shared" si="12"/>
        <v>15000</v>
      </c>
      <c r="M32" s="265">
        <v>0</v>
      </c>
      <c r="N32" s="285">
        <f t="shared" si="11"/>
        <v>15000</v>
      </c>
    </row>
    <row r="33" spans="1:14" x14ac:dyDescent="0.25">
      <c r="A33" s="21"/>
      <c r="B33" s="263" t="s">
        <v>223</v>
      </c>
      <c r="C33" s="297" t="s">
        <v>475</v>
      </c>
      <c r="D33" s="264">
        <v>112</v>
      </c>
      <c r="E33" s="265">
        <v>142</v>
      </c>
      <c r="F33" s="264">
        <v>0</v>
      </c>
      <c r="G33" s="265">
        <v>0</v>
      </c>
      <c r="H33" s="265">
        <v>0</v>
      </c>
      <c r="I33" s="265">
        <v>0</v>
      </c>
      <c r="J33" s="265">
        <v>96</v>
      </c>
      <c r="K33" s="264"/>
      <c r="L33" s="285">
        <f t="shared" si="12"/>
        <v>16000</v>
      </c>
      <c r="M33" s="265">
        <v>0</v>
      </c>
      <c r="N33" s="285">
        <f t="shared" si="11"/>
        <v>16000</v>
      </c>
    </row>
    <row r="34" spans="1:14" ht="16.5" customHeight="1" x14ac:dyDescent="0.25">
      <c r="A34" s="21"/>
      <c r="B34" s="263" t="s">
        <v>226</v>
      </c>
      <c r="C34" s="297" t="s">
        <v>476</v>
      </c>
      <c r="D34" s="264">
        <v>56</v>
      </c>
      <c r="E34" s="265">
        <v>130</v>
      </c>
      <c r="F34" s="264">
        <v>0</v>
      </c>
      <c r="G34" s="265">
        <v>0</v>
      </c>
      <c r="H34" s="265">
        <v>50</v>
      </c>
      <c r="I34" s="265">
        <v>0</v>
      </c>
      <c r="J34" s="265">
        <v>670</v>
      </c>
      <c r="K34" s="264"/>
      <c r="L34" s="285">
        <f t="shared" si="12"/>
        <v>8000</v>
      </c>
      <c r="M34" s="265">
        <v>0</v>
      </c>
      <c r="N34" s="285">
        <f t="shared" si="11"/>
        <v>8000</v>
      </c>
    </row>
    <row r="35" spans="1:14" x14ac:dyDescent="0.25">
      <c r="A35" s="21"/>
      <c r="B35" s="263" t="s">
        <v>229</v>
      </c>
      <c r="C35" s="297" t="s">
        <v>477</v>
      </c>
      <c r="D35" s="264">
        <v>112</v>
      </c>
      <c r="E35" s="265">
        <v>140</v>
      </c>
      <c r="F35" s="264">
        <v>0</v>
      </c>
      <c r="G35" s="265">
        <v>0</v>
      </c>
      <c r="H35" s="265">
        <v>20</v>
      </c>
      <c r="I35" s="265">
        <v>0</v>
      </c>
      <c r="J35" s="265">
        <v>300</v>
      </c>
      <c r="K35" s="264"/>
      <c r="L35" s="285">
        <f t="shared" si="12"/>
        <v>16000</v>
      </c>
      <c r="M35" s="265">
        <v>0</v>
      </c>
      <c r="N35" s="285">
        <f t="shared" si="11"/>
        <v>16000</v>
      </c>
    </row>
    <row r="36" spans="1:14" ht="18" customHeight="1" x14ac:dyDescent="0.25">
      <c r="A36" s="21"/>
      <c r="B36" s="263" t="s">
        <v>231</v>
      </c>
      <c r="C36" s="297" t="s">
        <v>478</v>
      </c>
      <c r="D36" s="264">
        <v>56</v>
      </c>
      <c r="E36" s="265">
        <v>250</v>
      </c>
      <c r="F36" s="264">
        <v>0</v>
      </c>
      <c r="G36" s="265">
        <v>0</v>
      </c>
      <c r="H36" s="265">
        <v>300</v>
      </c>
      <c r="I36" s="265">
        <v>0</v>
      </c>
      <c r="J36" s="265">
        <v>700</v>
      </c>
      <c r="K36" s="264"/>
      <c r="L36" s="285">
        <f t="shared" si="12"/>
        <v>15000</v>
      </c>
      <c r="M36" s="265">
        <v>0</v>
      </c>
      <c r="N36" s="285">
        <f t="shared" si="11"/>
        <v>15000</v>
      </c>
    </row>
    <row r="37" spans="1:14" x14ac:dyDescent="0.25">
      <c r="A37" s="21"/>
      <c r="B37" s="322" t="s">
        <v>479</v>
      </c>
      <c r="C37" s="323" t="s">
        <v>480</v>
      </c>
      <c r="D37" s="323">
        <f>SUM(D38:D39)</f>
        <v>168</v>
      </c>
      <c r="E37" s="324">
        <f>SUM(E38:E39)</f>
        <v>110</v>
      </c>
      <c r="F37" s="323">
        <f t="shared" ref="F37:H37" si="13">SUM(F38:F39)</f>
        <v>0</v>
      </c>
      <c r="G37" s="324">
        <f>SUM(G38:G39)</f>
        <v>0</v>
      </c>
      <c r="H37" s="324">
        <f t="shared" si="13"/>
        <v>50</v>
      </c>
      <c r="I37" s="324">
        <f t="shared" ref="I37" si="14">SUM(I38:I39)</f>
        <v>0</v>
      </c>
      <c r="J37" s="324">
        <f t="shared" ref="J37" si="15">SUM(J38:J39)</f>
        <v>430</v>
      </c>
      <c r="K37" s="323"/>
      <c r="L37" s="326">
        <f>SUM(L38:L39)</f>
        <v>10000</v>
      </c>
      <c r="M37" s="324">
        <v>0</v>
      </c>
      <c r="N37" s="326">
        <f t="shared" si="11"/>
        <v>10000</v>
      </c>
    </row>
    <row r="38" spans="1:14" x14ac:dyDescent="0.25">
      <c r="A38" s="21"/>
      <c r="B38" s="263" t="s">
        <v>236</v>
      </c>
      <c r="C38" s="297" t="s">
        <v>481</v>
      </c>
      <c r="D38" s="264">
        <v>112</v>
      </c>
      <c r="E38" s="265">
        <v>60</v>
      </c>
      <c r="F38" s="264">
        <v>0</v>
      </c>
      <c r="G38" s="265">
        <v>0</v>
      </c>
      <c r="H38" s="265">
        <v>0</v>
      </c>
      <c r="I38" s="265">
        <v>0</v>
      </c>
      <c r="J38" s="265">
        <v>280</v>
      </c>
      <c r="K38" s="264"/>
      <c r="L38" s="285">
        <f>D38*E38+F38*G38+SUM(H38:J38)</f>
        <v>7000</v>
      </c>
      <c r="M38" s="265">
        <v>0</v>
      </c>
      <c r="N38" s="285">
        <f t="shared" si="11"/>
        <v>7000</v>
      </c>
    </row>
    <row r="39" spans="1:14" x14ac:dyDescent="0.25">
      <c r="A39" s="21"/>
      <c r="B39" s="263" t="s">
        <v>238</v>
      </c>
      <c r="C39" s="297" t="s">
        <v>482</v>
      </c>
      <c r="D39" s="264">
        <v>56</v>
      </c>
      <c r="E39" s="265">
        <v>50</v>
      </c>
      <c r="F39" s="264">
        <v>0</v>
      </c>
      <c r="G39" s="265">
        <v>0</v>
      </c>
      <c r="H39" s="265">
        <v>50</v>
      </c>
      <c r="I39" s="265">
        <v>0</v>
      </c>
      <c r="J39" s="265">
        <v>150</v>
      </c>
      <c r="K39" s="264"/>
      <c r="L39" s="285">
        <f>D39*E39+F39*G39+SUM(H39:J39)</f>
        <v>3000</v>
      </c>
      <c r="M39" s="265">
        <v>0</v>
      </c>
      <c r="N39" s="285">
        <f t="shared" si="11"/>
        <v>3000</v>
      </c>
    </row>
    <row r="40" spans="1:14" ht="15.75" x14ac:dyDescent="0.25">
      <c r="A40" s="21"/>
      <c r="B40" s="259">
        <v>1.4</v>
      </c>
      <c r="C40" s="294" t="s">
        <v>243</v>
      </c>
      <c r="D40" s="293"/>
      <c r="E40" s="321" t="s">
        <v>55</v>
      </c>
      <c r="F40" s="261" t="s">
        <v>55</v>
      </c>
      <c r="G40" s="321" t="s">
        <v>55</v>
      </c>
      <c r="H40" s="321" t="s">
        <v>55</v>
      </c>
      <c r="I40" s="321" t="s">
        <v>55</v>
      </c>
      <c r="J40" s="321"/>
      <c r="K40" s="261"/>
      <c r="L40" s="262">
        <f>SUM(L41:L45)</f>
        <v>140000</v>
      </c>
      <c r="M40" s="262">
        <f>SUM(M41:M45)</f>
        <v>0</v>
      </c>
      <c r="N40" s="262">
        <f>SUM(N41:N45)</f>
        <v>140000</v>
      </c>
    </row>
    <row r="41" spans="1:14" x14ac:dyDescent="0.25">
      <c r="A41" s="21"/>
      <c r="B41" s="263" t="s">
        <v>244</v>
      </c>
      <c r="C41" s="298" t="s">
        <v>245</v>
      </c>
      <c r="D41" s="264">
        <v>264</v>
      </c>
      <c r="E41" s="265">
        <v>80</v>
      </c>
      <c r="F41" s="264">
        <v>10</v>
      </c>
      <c r="G41" s="265">
        <v>150</v>
      </c>
      <c r="H41" s="265">
        <v>30</v>
      </c>
      <c r="I41" s="265">
        <v>0</v>
      </c>
      <c r="J41" s="265">
        <v>350</v>
      </c>
      <c r="K41" s="264"/>
      <c r="L41" s="285">
        <f>D41*E41+F41*G41+SUM(H41:J41)</f>
        <v>23000</v>
      </c>
      <c r="M41" s="265">
        <v>0</v>
      </c>
      <c r="N41" s="285">
        <f>L41-M41</f>
        <v>23000</v>
      </c>
    </row>
    <row r="42" spans="1:14" x14ac:dyDescent="0.25">
      <c r="A42" s="21"/>
      <c r="B42" s="263" t="s">
        <v>249</v>
      </c>
      <c r="C42" s="298" t="s">
        <v>250</v>
      </c>
      <c r="D42" s="264">
        <v>224</v>
      </c>
      <c r="E42" s="265">
        <v>85</v>
      </c>
      <c r="F42" s="264">
        <v>0</v>
      </c>
      <c r="G42" s="265">
        <v>0</v>
      </c>
      <c r="H42" s="265">
        <v>380</v>
      </c>
      <c r="I42" s="265">
        <v>0</v>
      </c>
      <c r="J42" s="265">
        <v>580</v>
      </c>
      <c r="K42" s="264"/>
      <c r="L42" s="285">
        <f t="shared" ref="L42:L44" si="16">D42*E42+F42*G42+SUM(H42:J42)</f>
        <v>20000</v>
      </c>
      <c r="M42" s="265">
        <v>0</v>
      </c>
      <c r="N42" s="285">
        <f t="shared" ref="N42:N47" si="17">L42-M42</f>
        <v>20000</v>
      </c>
    </row>
    <row r="43" spans="1:14" x14ac:dyDescent="0.25">
      <c r="A43" s="24"/>
      <c r="B43" s="263" t="s">
        <v>251</v>
      </c>
      <c r="C43" s="298" t="s">
        <v>252</v>
      </c>
      <c r="D43" s="264">
        <v>240</v>
      </c>
      <c r="E43" s="265">
        <v>120</v>
      </c>
      <c r="F43" s="264">
        <v>20</v>
      </c>
      <c r="G43" s="265">
        <v>350</v>
      </c>
      <c r="H43" s="265">
        <v>400</v>
      </c>
      <c r="I43" s="265">
        <v>0</v>
      </c>
      <c r="J43" s="265">
        <v>800</v>
      </c>
      <c r="K43" s="264"/>
      <c r="L43" s="285">
        <f t="shared" si="16"/>
        <v>37000</v>
      </c>
      <c r="M43" s="265">
        <v>0</v>
      </c>
      <c r="N43" s="285">
        <f t="shared" si="17"/>
        <v>37000</v>
      </c>
    </row>
    <row r="44" spans="1:14" x14ac:dyDescent="0.25">
      <c r="A44" s="25"/>
      <c r="B44" s="263" t="s">
        <v>254</v>
      </c>
      <c r="C44" s="298" t="s">
        <v>255</v>
      </c>
      <c r="D44" s="264">
        <v>168</v>
      </c>
      <c r="E44" s="265">
        <v>120</v>
      </c>
      <c r="F44" s="264">
        <v>20</v>
      </c>
      <c r="G44" s="265">
        <v>200</v>
      </c>
      <c r="H44" s="265">
        <v>140</v>
      </c>
      <c r="I44" s="265">
        <v>0</v>
      </c>
      <c r="J44" s="265">
        <v>700</v>
      </c>
      <c r="K44" s="264"/>
      <c r="L44" s="285">
        <f t="shared" si="16"/>
        <v>25000</v>
      </c>
      <c r="M44" s="265">
        <v>0</v>
      </c>
      <c r="N44" s="285">
        <f t="shared" si="17"/>
        <v>25000</v>
      </c>
    </row>
    <row r="45" spans="1:14" ht="15" customHeight="1" x14ac:dyDescent="0.25">
      <c r="B45" s="322" t="s">
        <v>483</v>
      </c>
      <c r="C45" s="323" t="s">
        <v>484</v>
      </c>
      <c r="D45" s="323">
        <f>SUM(D46:D47)</f>
        <v>224</v>
      </c>
      <c r="E45" s="324">
        <f>SUM(E46:E47)</f>
        <v>270</v>
      </c>
      <c r="F45" s="323">
        <f t="shared" ref="F45:H45" si="18">SUM(F46:F47)</f>
        <v>20</v>
      </c>
      <c r="G45" s="324">
        <f>SUM(G46:G47)</f>
        <v>250</v>
      </c>
      <c r="H45" s="324">
        <f t="shared" si="18"/>
        <v>300</v>
      </c>
      <c r="I45" s="324">
        <f t="shared" ref="I45" si="19">SUM(I46:I47)</f>
        <v>0</v>
      </c>
      <c r="J45" s="324">
        <f t="shared" ref="J45" si="20">SUM(J46:J47)</f>
        <v>1960</v>
      </c>
      <c r="K45" s="323"/>
      <c r="L45" s="326">
        <f>SUM(L46:L47)</f>
        <v>35000</v>
      </c>
      <c r="M45" s="324">
        <v>0</v>
      </c>
      <c r="N45" s="326">
        <f t="shared" si="17"/>
        <v>35000</v>
      </c>
    </row>
    <row r="46" spans="1:14" x14ac:dyDescent="0.25">
      <c r="B46" s="263" t="s">
        <v>258</v>
      </c>
      <c r="C46" s="298" t="s">
        <v>485</v>
      </c>
      <c r="D46" s="264">
        <v>112</v>
      </c>
      <c r="E46" s="265">
        <v>150</v>
      </c>
      <c r="F46" s="264">
        <v>10</v>
      </c>
      <c r="G46" s="265">
        <v>150</v>
      </c>
      <c r="H46" s="265">
        <v>200</v>
      </c>
      <c r="I46" s="265">
        <v>0</v>
      </c>
      <c r="J46" s="265">
        <v>1500</v>
      </c>
      <c r="K46" s="264"/>
      <c r="L46" s="285">
        <f>D46*E46+F46*G46+SUM(H46:J46)</f>
        <v>20000</v>
      </c>
      <c r="M46" s="265">
        <v>0</v>
      </c>
      <c r="N46" s="285">
        <f t="shared" si="17"/>
        <v>20000</v>
      </c>
    </row>
    <row r="47" spans="1:14" x14ac:dyDescent="0.25">
      <c r="B47" s="263" t="s">
        <v>261</v>
      </c>
      <c r="C47" s="299" t="s">
        <v>486</v>
      </c>
      <c r="D47" s="264">
        <v>112</v>
      </c>
      <c r="E47" s="265">
        <v>120</v>
      </c>
      <c r="F47" s="264">
        <v>10</v>
      </c>
      <c r="G47" s="265">
        <v>100</v>
      </c>
      <c r="H47" s="265">
        <v>100</v>
      </c>
      <c r="I47" s="265">
        <v>0</v>
      </c>
      <c r="J47" s="265">
        <v>460</v>
      </c>
      <c r="K47" s="264"/>
      <c r="L47" s="285">
        <f>D47*E47+F47*G47+SUM(H47:J47)</f>
        <v>15000</v>
      </c>
      <c r="M47" s="265">
        <v>0</v>
      </c>
      <c r="N47" s="285">
        <f t="shared" si="17"/>
        <v>15000</v>
      </c>
    </row>
    <row r="48" spans="1:14" x14ac:dyDescent="0.25">
      <c r="B48" s="259">
        <v>1.5</v>
      </c>
      <c r="C48" s="260" t="s">
        <v>265</v>
      </c>
      <c r="D48" s="261" t="s">
        <v>55</v>
      </c>
      <c r="E48" s="321" t="s">
        <v>55</v>
      </c>
      <c r="F48" s="261" t="s">
        <v>55</v>
      </c>
      <c r="G48" s="321" t="s">
        <v>55</v>
      </c>
      <c r="H48" s="321" t="s">
        <v>55</v>
      </c>
      <c r="I48" s="321" t="s">
        <v>55</v>
      </c>
      <c r="J48" s="321"/>
      <c r="K48" s="261"/>
      <c r="L48" s="262">
        <f>SUM(L49,L52:L54)</f>
        <v>30000</v>
      </c>
      <c r="M48" s="262">
        <f>SUM(M49,M52:M54)</f>
        <v>0</v>
      </c>
      <c r="N48" s="262">
        <f>SUM(N49,N52:N54)</f>
        <v>30000</v>
      </c>
    </row>
    <row r="49" spans="2:15" x14ac:dyDescent="0.25">
      <c r="B49" s="322" t="s">
        <v>487</v>
      </c>
      <c r="C49" s="323" t="s">
        <v>488</v>
      </c>
      <c r="D49" s="323">
        <f>SUM(D50:D51)</f>
        <v>224</v>
      </c>
      <c r="E49" s="324">
        <f>SUM(E50:E51)</f>
        <v>85</v>
      </c>
      <c r="F49" s="323">
        <f t="shared" ref="F49:H49" si="21">SUM(F50:F51)</f>
        <v>0</v>
      </c>
      <c r="G49" s="324">
        <f>SUM(G50:G51)</f>
        <v>0</v>
      </c>
      <c r="H49" s="324">
        <f t="shared" si="21"/>
        <v>270</v>
      </c>
      <c r="I49" s="324">
        <f>SUM(I50:I51)</f>
        <v>0</v>
      </c>
      <c r="J49" s="324">
        <f t="shared" ref="J49" si="22">SUM(J50:J51)</f>
        <v>370</v>
      </c>
      <c r="K49" s="323"/>
      <c r="L49" s="326">
        <f>SUM(L50:L51)</f>
        <v>10000</v>
      </c>
      <c r="M49" s="324">
        <v>0</v>
      </c>
      <c r="N49" s="326">
        <f>L49-M49</f>
        <v>10000</v>
      </c>
    </row>
    <row r="50" spans="2:15" x14ac:dyDescent="0.25">
      <c r="B50" s="300" t="s">
        <v>266</v>
      </c>
      <c r="C50" s="301" t="s">
        <v>267</v>
      </c>
      <c r="D50" s="264">
        <v>144</v>
      </c>
      <c r="E50" s="265">
        <v>40</v>
      </c>
      <c r="F50" s="264">
        <v>0</v>
      </c>
      <c r="G50" s="265">
        <v>0</v>
      </c>
      <c r="H50" s="265">
        <v>70</v>
      </c>
      <c r="I50" s="265">
        <v>0</v>
      </c>
      <c r="J50" s="265">
        <v>170</v>
      </c>
      <c r="K50" s="264"/>
      <c r="L50" s="285">
        <f>D50*E50+F50*G50+SUM(H50:J50)</f>
        <v>6000</v>
      </c>
      <c r="M50" s="265">
        <v>0</v>
      </c>
      <c r="N50" s="285">
        <f t="shared" ref="N50:N54" si="23">L50-M50</f>
        <v>6000</v>
      </c>
    </row>
    <row r="51" spans="2:15" x14ac:dyDescent="0.25">
      <c r="B51" s="300" t="s">
        <v>269</v>
      </c>
      <c r="C51" s="301" t="s">
        <v>270</v>
      </c>
      <c r="D51" s="264">
        <v>80</v>
      </c>
      <c r="E51" s="265">
        <v>45</v>
      </c>
      <c r="F51" s="264">
        <v>0</v>
      </c>
      <c r="G51" s="265">
        <v>0</v>
      </c>
      <c r="H51" s="265">
        <v>200</v>
      </c>
      <c r="I51" s="265">
        <v>0</v>
      </c>
      <c r="J51" s="265">
        <v>200</v>
      </c>
      <c r="K51" s="264"/>
      <c r="L51" s="285">
        <f>D51*E51+F51*G51+SUM(H51:J51)</f>
        <v>4000</v>
      </c>
      <c r="M51" s="265">
        <v>0</v>
      </c>
      <c r="N51" s="285">
        <f t="shared" si="23"/>
        <v>4000</v>
      </c>
    </row>
    <row r="52" spans="2:15" x14ac:dyDescent="0.25">
      <c r="B52" s="302" t="s">
        <v>274</v>
      </c>
      <c r="C52" s="303" t="s">
        <v>275</v>
      </c>
      <c r="D52" s="264">
        <v>192</v>
      </c>
      <c r="E52" s="265">
        <v>35</v>
      </c>
      <c r="F52" s="264">
        <v>0</v>
      </c>
      <c r="G52" s="265">
        <v>0</v>
      </c>
      <c r="H52" s="265">
        <v>58</v>
      </c>
      <c r="I52" s="265">
        <v>0</v>
      </c>
      <c r="J52" s="265">
        <v>222</v>
      </c>
      <c r="K52" s="264"/>
      <c r="L52" s="285">
        <f t="shared" ref="L52:L54" si="24">D52*E52+F52*G52+SUM(H52:J52)</f>
        <v>7000</v>
      </c>
      <c r="M52" s="265">
        <v>0</v>
      </c>
      <c r="N52" s="285">
        <f t="shared" si="23"/>
        <v>7000</v>
      </c>
    </row>
    <row r="53" spans="2:15" x14ac:dyDescent="0.25">
      <c r="B53" s="304" t="s">
        <v>278</v>
      </c>
      <c r="C53" s="305" t="s">
        <v>279</v>
      </c>
      <c r="D53" s="264">
        <v>200</v>
      </c>
      <c r="E53" s="265">
        <v>31</v>
      </c>
      <c r="F53" s="264">
        <v>0</v>
      </c>
      <c r="G53" s="265">
        <v>0</v>
      </c>
      <c r="H53" s="265">
        <v>50</v>
      </c>
      <c r="I53" s="265">
        <v>350</v>
      </c>
      <c r="J53" s="265">
        <v>400</v>
      </c>
      <c r="K53" s="264"/>
      <c r="L53" s="285">
        <f t="shared" si="24"/>
        <v>7000</v>
      </c>
      <c r="M53" s="265">
        <v>0</v>
      </c>
      <c r="N53" s="285">
        <f t="shared" si="23"/>
        <v>7000</v>
      </c>
    </row>
    <row r="54" spans="2:15" x14ac:dyDescent="0.25">
      <c r="B54" s="306" t="s">
        <v>282</v>
      </c>
      <c r="C54" s="307" t="s">
        <v>283</v>
      </c>
      <c r="D54" s="264">
        <v>224</v>
      </c>
      <c r="E54" s="265">
        <v>26</v>
      </c>
      <c r="F54" s="264">
        <v>0</v>
      </c>
      <c r="G54" s="265">
        <v>0</v>
      </c>
      <c r="H54" s="265">
        <v>50</v>
      </c>
      <c r="I54" s="265">
        <v>0</v>
      </c>
      <c r="J54" s="265">
        <v>126</v>
      </c>
      <c r="K54" s="264"/>
      <c r="L54" s="285">
        <f t="shared" si="24"/>
        <v>6000</v>
      </c>
      <c r="M54" s="265">
        <v>0</v>
      </c>
      <c r="N54" s="285">
        <f t="shared" si="23"/>
        <v>6000</v>
      </c>
    </row>
    <row r="55" spans="2:15" x14ac:dyDescent="0.25">
      <c r="B55" s="259">
        <v>1.6</v>
      </c>
      <c r="C55" s="260" t="s">
        <v>288</v>
      </c>
      <c r="D55" s="261" t="s">
        <v>55</v>
      </c>
      <c r="E55" s="321" t="s">
        <v>55</v>
      </c>
      <c r="F55" s="261" t="s">
        <v>55</v>
      </c>
      <c r="G55" s="321" t="s">
        <v>55</v>
      </c>
      <c r="H55" s="321" t="s">
        <v>55</v>
      </c>
      <c r="I55" s="321" t="s">
        <v>55</v>
      </c>
      <c r="J55" s="321"/>
      <c r="K55" s="261"/>
      <c r="L55" s="262">
        <f>SUM(L56,L59,L62,L66)</f>
        <v>114000</v>
      </c>
      <c r="M55" s="262">
        <f>SUM(M56,M59,M62,M66)</f>
        <v>0</v>
      </c>
      <c r="N55" s="262">
        <f>SUM(N56,N59,N62,N66)</f>
        <v>114000</v>
      </c>
    </row>
    <row r="56" spans="2:15" x14ac:dyDescent="0.25">
      <c r="B56" s="322" t="s">
        <v>489</v>
      </c>
      <c r="C56" s="323" t="s">
        <v>490</v>
      </c>
      <c r="D56" s="323">
        <f>SUM(D57:D58)</f>
        <v>168</v>
      </c>
      <c r="E56" s="324">
        <f>SUM(E57:E58)</f>
        <v>160</v>
      </c>
      <c r="F56" s="323">
        <f t="shared" ref="F56:H56" si="25">SUM(F57:F58)</f>
        <v>0</v>
      </c>
      <c r="G56" s="324">
        <f>SUM(G57:G58)</f>
        <v>0</v>
      </c>
      <c r="H56" s="324">
        <f t="shared" si="25"/>
        <v>200</v>
      </c>
      <c r="I56" s="324">
        <f t="shared" ref="I56" si="26">SUM(I57:I58)</f>
        <v>900</v>
      </c>
      <c r="J56" s="324">
        <f t="shared" ref="J56" si="27">SUM(J57:J58)</f>
        <v>460</v>
      </c>
      <c r="K56" s="323"/>
      <c r="L56" s="326">
        <f>SUM(L57:L58)</f>
        <v>15000</v>
      </c>
      <c r="M56" s="324">
        <v>0</v>
      </c>
      <c r="N56" s="326">
        <f>L56-M56</f>
        <v>15000</v>
      </c>
    </row>
    <row r="57" spans="2:15" x14ac:dyDescent="0.25">
      <c r="B57" s="308" t="s">
        <v>289</v>
      </c>
      <c r="C57" s="309" t="s">
        <v>491</v>
      </c>
      <c r="D57" s="264">
        <v>140</v>
      </c>
      <c r="E57" s="265">
        <v>80</v>
      </c>
      <c r="F57" s="264">
        <v>0</v>
      </c>
      <c r="G57" s="265">
        <v>0</v>
      </c>
      <c r="H57" s="265">
        <v>100</v>
      </c>
      <c r="I57" s="265">
        <v>600</v>
      </c>
      <c r="J57" s="265">
        <v>100</v>
      </c>
      <c r="K57" s="264"/>
      <c r="L57" s="285">
        <f>D57*E57+F57*G57+SUM(H57:J57)</f>
        <v>12000</v>
      </c>
      <c r="M57" s="265">
        <v>0</v>
      </c>
      <c r="N57" s="285">
        <f t="shared" ref="N57:N66" si="28">L57-M57</f>
        <v>12000</v>
      </c>
    </row>
    <row r="58" spans="2:15" x14ac:dyDescent="0.25">
      <c r="B58" s="308" t="s">
        <v>292</v>
      </c>
      <c r="C58" s="309" t="s">
        <v>492</v>
      </c>
      <c r="D58" s="264">
        <v>28</v>
      </c>
      <c r="E58" s="265">
        <v>80</v>
      </c>
      <c r="F58" s="264">
        <v>0</v>
      </c>
      <c r="G58" s="265">
        <v>0</v>
      </c>
      <c r="H58" s="265">
        <v>100</v>
      </c>
      <c r="I58" s="265">
        <v>300</v>
      </c>
      <c r="J58" s="265">
        <v>360</v>
      </c>
      <c r="K58" s="264"/>
      <c r="L58" s="285">
        <f>D58*E58+F58*G58+SUM(H58:J58)</f>
        <v>3000</v>
      </c>
      <c r="M58" s="265">
        <v>0</v>
      </c>
      <c r="N58" s="285">
        <f t="shared" si="28"/>
        <v>3000</v>
      </c>
    </row>
    <row r="59" spans="2:15" x14ac:dyDescent="0.25">
      <c r="B59" s="322" t="s">
        <v>493</v>
      </c>
      <c r="C59" s="323" t="s">
        <v>494</v>
      </c>
      <c r="D59" s="323">
        <f>SUM(D60:D61)</f>
        <v>336</v>
      </c>
      <c r="E59" s="324">
        <f>SUM(E60:E61)</f>
        <v>190</v>
      </c>
      <c r="F59" s="323">
        <f t="shared" ref="F59:H59" si="29">SUM(F60:F61)</f>
        <v>40</v>
      </c>
      <c r="G59" s="324">
        <f>SUM(G60:G61)</f>
        <v>10</v>
      </c>
      <c r="H59" s="324">
        <f t="shared" si="29"/>
        <v>5160</v>
      </c>
      <c r="I59" s="324">
        <f t="shared" ref="I59" si="30">SUM(I60:I61)</f>
        <v>1440</v>
      </c>
      <c r="J59" s="324">
        <f t="shared" ref="J59" si="31">SUM(J60:J61)</f>
        <v>10000</v>
      </c>
      <c r="K59" s="323"/>
      <c r="L59" s="326">
        <f>SUM(L60:L61)</f>
        <v>45000</v>
      </c>
      <c r="M59" s="324">
        <v>0</v>
      </c>
      <c r="N59" s="326">
        <f t="shared" si="28"/>
        <v>45000</v>
      </c>
      <c r="O59" s="266" t="s">
        <v>55</v>
      </c>
    </row>
    <row r="60" spans="2:15" x14ac:dyDescent="0.25">
      <c r="B60" s="308" t="s">
        <v>294</v>
      </c>
      <c r="C60" s="309" t="s">
        <v>495</v>
      </c>
      <c r="D60" s="264">
        <v>112</v>
      </c>
      <c r="E60" s="265">
        <v>130</v>
      </c>
      <c r="F60" s="264">
        <v>0</v>
      </c>
      <c r="G60" s="265">
        <v>0</v>
      </c>
      <c r="H60" s="265">
        <v>5000</v>
      </c>
      <c r="I60" s="265">
        <v>440</v>
      </c>
      <c r="J60" s="265">
        <v>10000</v>
      </c>
      <c r="K60" s="264"/>
      <c r="L60" s="285">
        <f>D60*E60+F60*G60+SUM(H60:J60)</f>
        <v>30000</v>
      </c>
      <c r="M60" s="265">
        <v>0</v>
      </c>
      <c r="N60" s="285">
        <f t="shared" si="28"/>
        <v>30000</v>
      </c>
    </row>
    <row r="61" spans="2:15" x14ac:dyDescent="0.25">
      <c r="B61" s="308" t="s">
        <v>299</v>
      </c>
      <c r="C61" s="309" t="s">
        <v>496</v>
      </c>
      <c r="D61" s="264">
        <v>224</v>
      </c>
      <c r="E61" s="265">
        <v>60</v>
      </c>
      <c r="F61" s="264">
        <v>40</v>
      </c>
      <c r="G61" s="265">
        <v>10</v>
      </c>
      <c r="H61" s="265">
        <v>160</v>
      </c>
      <c r="I61" s="265">
        <v>1000</v>
      </c>
      <c r="J61" s="265">
        <v>0</v>
      </c>
      <c r="K61" s="264"/>
      <c r="L61" s="285">
        <f>D61*E61+F61*G61+SUM(H61:J61)</f>
        <v>15000</v>
      </c>
      <c r="M61" s="265">
        <v>0</v>
      </c>
      <c r="N61" s="285">
        <f t="shared" si="28"/>
        <v>15000</v>
      </c>
    </row>
    <row r="62" spans="2:15" x14ac:dyDescent="0.25">
      <c r="B62" s="322" t="s">
        <v>497</v>
      </c>
      <c r="C62" s="323" t="s">
        <v>498</v>
      </c>
      <c r="D62" s="323">
        <f>SUM(D63:D65)</f>
        <v>336</v>
      </c>
      <c r="E62" s="324">
        <f>SUM(E63:E65)</f>
        <v>350</v>
      </c>
      <c r="F62" s="323">
        <f t="shared" ref="F62:H62" si="32">SUM(F63:F65)</f>
        <v>0</v>
      </c>
      <c r="G62" s="324">
        <f>SUM(G63:G65)</f>
        <v>0</v>
      </c>
      <c r="H62" s="324">
        <f t="shared" si="32"/>
        <v>2200</v>
      </c>
      <c r="I62" s="324">
        <f t="shared" ref="I62" si="33">SUM(I63:I65)</f>
        <v>0</v>
      </c>
      <c r="J62" s="324">
        <f t="shared" ref="J62" si="34">SUM(J63:J65)</f>
        <v>960</v>
      </c>
      <c r="K62" s="323"/>
      <c r="L62" s="326">
        <f>SUM(L63:L65)</f>
        <v>39000</v>
      </c>
      <c r="M62" s="324">
        <v>0</v>
      </c>
      <c r="N62" s="326">
        <f t="shared" si="28"/>
        <v>39000</v>
      </c>
    </row>
    <row r="63" spans="2:15" x14ac:dyDescent="0.25">
      <c r="B63" s="308" t="s">
        <v>303</v>
      </c>
      <c r="C63" s="309" t="s">
        <v>499</v>
      </c>
      <c r="D63" s="264">
        <v>168</v>
      </c>
      <c r="E63" s="265">
        <v>90</v>
      </c>
      <c r="F63" s="264">
        <v>0</v>
      </c>
      <c r="G63" s="265">
        <v>0</v>
      </c>
      <c r="H63" s="265">
        <v>800</v>
      </c>
      <c r="I63" s="265">
        <v>0</v>
      </c>
      <c r="J63" s="265">
        <v>80</v>
      </c>
      <c r="K63" s="264"/>
      <c r="L63" s="285">
        <f>D63*E63+F63*G63+SUM(H63:J63)</f>
        <v>16000</v>
      </c>
      <c r="M63" s="265">
        <v>0</v>
      </c>
      <c r="N63" s="285">
        <f t="shared" si="28"/>
        <v>16000</v>
      </c>
    </row>
    <row r="64" spans="2:15" x14ac:dyDescent="0.25">
      <c r="B64" s="308" t="s">
        <v>306</v>
      </c>
      <c r="C64" s="309" t="s">
        <v>500</v>
      </c>
      <c r="D64" s="264">
        <v>112</v>
      </c>
      <c r="E64" s="265">
        <v>110</v>
      </c>
      <c r="F64" s="264">
        <v>0</v>
      </c>
      <c r="G64" s="265">
        <v>0</v>
      </c>
      <c r="H64" s="265">
        <v>1000</v>
      </c>
      <c r="I64" s="265">
        <v>0</v>
      </c>
      <c r="J64" s="265">
        <v>680</v>
      </c>
      <c r="K64" s="264"/>
      <c r="L64" s="285">
        <f t="shared" ref="L64:L66" si="35">D64*E64+F64*G64+SUM(H64:J64)</f>
        <v>14000</v>
      </c>
      <c r="M64" s="265">
        <v>0</v>
      </c>
      <c r="N64" s="285">
        <f t="shared" si="28"/>
        <v>14000</v>
      </c>
    </row>
    <row r="65" spans="2:14" x14ac:dyDescent="0.25">
      <c r="B65" s="310" t="s">
        <v>308</v>
      </c>
      <c r="C65" s="311" t="s">
        <v>501</v>
      </c>
      <c r="D65" s="264">
        <v>56</v>
      </c>
      <c r="E65" s="265">
        <v>150</v>
      </c>
      <c r="F65" s="264">
        <v>0</v>
      </c>
      <c r="G65" s="265">
        <v>0</v>
      </c>
      <c r="H65" s="265">
        <v>400</v>
      </c>
      <c r="I65" s="265">
        <v>0</v>
      </c>
      <c r="J65" s="265">
        <v>200</v>
      </c>
      <c r="K65" s="264"/>
      <c r="L65" s="285">
        <f t="shared" si="35"/>
        <v>9000</v>
      </c>
      <c r="M65" s="265">
        <v>0</v>
      </c>
      <c r="N65" s="285">
        <f t="shared" si="28"/>
        <v>9000</v>
      </c>
    </row>
    <row r="66" spans="2:14" x14ac:dyDescent="0.25">
      <c r="B66" s="304" t="s">
        <v>310</v>
      </c>
      <c r="C66" s="305" t="s">
        <v>311</v>
      </c>
      <c r="D66" s="264">
        <v>168</v>
      </c>
      <c r="E66" s="265">
        <v>85</v>
      </c>
      <c r="F66" s="264">
        <v>0</v>
      </c>
      <c r="G66" s="265">
        <v>0</v>
      </c>
      <c r="H66" s="265">
        <v>400</v>
      </c>
      <c r="I66" s="265">
        <v>0</v>
      </c>
      <c r="J66" s="265">
        <v>320</v>
      </c>
      <c r="K66" s="264"/>
      <c r="L66" s="285">
        <f t="shared" si="35"/>
        <v>15000</v>
      </c>
      <c r="M66" s="265">
        <v>0</v>
      </c>
      <c r="N66" s="285">
        <f t="shared" si="28"/>
        <v>15000</v>
      </c>
    </row>
    <row r="67" spans="2:14" x14ac:dyDescent="0.25">
      <c r="B67" s="259">
        <v>1.7</v>
      </c>
      <c r="C67" s="260" t="s">
        <v>315</v>
      </c>
      <c r="D67" s="261" t="s">
        <v>55</v>
      </c>
      <c r="E67" s="321" t="s">
        <v>55</v>
      </c>
      <c r="F67" s="261" t="s">
        <v>55</v>
      </c>
      <c r="G67" s="321" t="s">
        <v>55</v>
      </c>
      <c r="H67" s="321" t="s">
        <v>55</v>
      </c>
      <c r="I67" s="321" t="s">
        <v>55</v>
      </c>
      <c r="J67" s="321"/>
      <c r="K67" s="261"/>
      <c r="L67" s="262">
        <f>SUM(L68,L71:L73)</f>
        <v>36000</v>
      </c>
      <c r="M67" s="262">
        <f>SUM(M68,M71:M73)</f>
        <v>0</v>
      </c>
      <c r="N67" s="262">
        <f>SUM(N68,N71:N73)</f>
        <v>36000</v>
      </c>
    </row>
    <row r="68" spans="2:14" x14ac:dyDescent="0.25">
      <c r="B68" s="322" t="s">
        <v>502</v>
      </c>
      <c r="C68" s="323" t="s">
        <v>503</v>
      </c>
      <c r="D68" s="323">
        <f>SUM(D69:D70)</f>
        <v>168</v>
      </c>
      <c r="E68" s="324">
        <f>SUM(E69:E70)</f>
        <v>97</v>
      </c>
      <c r="F68" s="323">
        <f t="shared" ref="F68:H68" si="36">SUM(F69:F70)</f>
        <v>0</v>
      </c>
      <c r="G68" s="324">
        <f>SUM(G69:G70)</f>
        <v>0</v>
      </c>
      <c r="H68" s="324">
        <f t="shared" si="36"/>
        <v>184</v>
      </c>
      <c r="I68" s="324">
        <f t="shared" ref="I68" si="37">SUM(I69:I70)</f>
        <v>400</v>
      </c>
      <c r="J68" s="324">
        <f t="shared" ref="J68" si="38">SUM(J69:J70)</f>
        <v>400</v>
      </c>
      <c r="K68" s="323"/>
      <c r="L68" s="326">
        <f>SUM(L69:L70)</f>
        <v>10000</v>
      </c>
      <c r="M68" s="324">
        <v>0</v>
      </c>
      <c r="N68" s="326">
        <f>L68-M68</f>
        <v>10000</v>
      </c>
    </row>
    <row r="69" spans="2:14" x14ac:dyDescent="0.25">
      <c r="B69" s="312" t="s">
        <v>316</v>
      </c>
      <c r="C69" s="313" t="s">
        <v>504</v>
      </c>
      <c r="D69" s="264">
        <v>56</v>
      </c>
      <c r="E69" s="265">
        <v>33</v>
      </c>
      <c r="F69" s="264">
        <v>0</v>
      </c>
      <c r="G69" s="265">
        <v>0</v>
      </c>
      <c r="H69" s="265">
        <v>52</v>
      </c>
      <c r="I69" s="265">
        <v>0</v>
      </c>
      <c r="J69" s="265">
        <v>100</v>
      </c>
      <c r="K69" s="264"/>
      <c r="L69" s="285">
        <f>D69*E69+F69*G69+SUM(H69:J69)</f>
        <v>2000</v>
      </c>
      <c r="M69" s="265">
        <v>0</v>
      </c>
      <c r="N69" s="285">
        <f t="shared" ref="N69:N73" si="39">L69-M69</f>
        <v>2000</v>
      </c>
    </row>
    <row r="70" spans="2:14" x14ac:dyDescent="0.25">
      <c r="B70" s="312" t="s">
        <v>319</v>
      </c>
      <c r="C70" s="313" t="s">
        <v>505</v>
      </c>
      <c r="D70" s="264">
        <v>112</v>
      </c>
      <c r="E70" s="265">
        <v>64</v>
      </c>
      <c r="F70" s="264">
        <v>0</v>
      </c>
      <c r="G70" s="265">
        <v>0</v>
      </c>
      <c r="H70" s="265">
        <v>132</v>
      </c>
      <c r="I70" s="265">
        <v>400</v>
      </c>
      <c r="J70" s="265">
        <v>300</v>
      </c>
      <c r="K70" s="264"/>
      <c r="L70" s="285">
        <f t="shared" ref="L70:L73" si="40">D70*E70+F70*G70+SUM(H70:J70)</f>
        <v>8000</v>
      </c>
      <c r="M70" s="265">
        <v>0</v>
      </c>
      <c r="N70" s="285">
        <f t="shared" si="39"/>
        <v>8000</v>
      </c>
    </row>
    <row r="71" spans="2:14" x14ac:dyDescent="0.25">
      <c r="B71" s="312" t="s">
        <v>323</v>
      </c>
      <c r="C71" s="313" t="s">
        <v>324</v>
      </c>
      <c r="D71" s="264">
        <v>112</v>
      </c>
      <c r="E71" s="265">
        <v>135</v>
      </c>
      <c r="F71" s="264">
        <v>0</v>
      </c>
      <c r="G71" s="265">
        <v>0</v>
      </c>
      <c r="H71" s="265">
        <v>380</v>
      </c>
      <c r="I71" s="265">
        <v>0</v>
      </c>
      <c r="J71" s="265">
        <v>500</v>
      </c>
      <c r="K71" s="264"/>
      <c r="L71" s="285">
        <f t="shared" si="40"/>
        <v>16000</v>
      </c>
      <c r="M71" s="265">
        <v>0</v>
      </c>
      <c r="N71" s="285">
        <f t="shared" si="39"/>
        <v>16000</v>
      </c>
    </row>
    <row r="72" spans="2:14" x14ac:dyDescent="0.25">
      <c r="B72" s="312" t="s">
        <v>325</v>
      </c>
      <c r="C72" s="313" t="s">
        <v>326</v>
      </c>
      <c r="D72" s="264">
        <v>112</v>
      </c>
      <c r="E72" s="265">
        <v>40</v>
      </c>
      <c r="F72" s="264">
        <v>0</v>
      </c>
      <c r="G72" s="265">
        <v>0</v>
      </c>
      <c r="H72" s="265">
        <v>380</v>
      </c>
      <c r="I72" s="265">
        <v>0</v>
      </c>
      <c r="J72" s="265">
        <v>140</v>
      </c>
      <c r="K72" s="264"/>
      <c r="L72" s="285">
        <f t="shared" si="40"/>
        <v>5000</v>
      </c>
      <c r="M72" s="265">
        <v>0</v>
      </c>
      <c r="N72" s="285">
        <f t="shared" si="39"/>
        <v>5000</v>
      </c>
    </row>
    <row r="73" spans="2:14" x14ac:dyDescent="0.25">
      <c r="B73" s="314" t="s">
        <v>330</v>
      </c>
      <c r="C73" s="315" t="s">
        <v>331</v>
      </c>
      <c r="D73" s="264">
        <v>112</v>
      </c>
      <c r="E73" s="265">
        <v>38</v>
      </c>
      <c r="F73" s="264">
        <v>0</v>
      </c>
      <c r="G73" s="265">
        <v>0</v>
      </c>
      <c r="H73" s="265">
        <v>0</v>
      </c>
      <c r="I73" s="265">
        <v>0</v>
      </c>
      <c r="J73" s="265">
        <v>744</v>
      </c>
      <c r="K73" s="264"/>
      <c r="L73" s="285">
        <f t="shared" si="40"/>
        <v>5000</v>
      </c>
      <c r="M73" s="265">
        <v>0</v>
      </c>
      <c r="N73" s="285">
        <f t="shared" si="39"/>
        <v>5000</v>
      </c>
    </row>
    <row r="74" spans="2:14" x14ac:dyDescent="0.25">
      <c r="B74" s="259">
        <v>1.8</v>
      </c>
      <c r="C74" s="260" t="s">
        <v>335</v>
      </c>
      <c r="D74" s="261" t="s">
        <v>55</v>
      </c>
      <c r="E74" s="321" t="s">
        <v>55</v>
      </c>
      <c r="F74" s="261" t="s">
        <v>55</v>
      </c>
      <c r="G74" s="321" t="s">
        <v>55</v>
      </c>
      <c r="H74" s="321" t="s">
        <v>55</v>
      </c>
      <c r="I74" s="321" t="s">
        <v>55</v>
      </c>
      <c r="J74" s="321"/>
      <c r="K74" s="261"/>
      <c r="L74" s="262">
        <f>SUM(L75:L79)</f>
        <v>20000</v>
      </c>
      <c r="M74" s="262">
        <f>SUM(M75:M79)</f>
        <v>0</v>
      </c>
      <c r="N74" s="262">
        <f>SUM(N75:N79)</f>
        <v>20000</v>
      </c>
    </row>
    <row r="75" spans="2:14" x14ac:dyDescent="0.25">
      <c r="B75" s="316" t="s">
        <v>336</v>
      </c>
      <c r="C75" s="317" t="s">
        <v>337</v>
      </c>
      <c r="D75" s="264">
        <v>56</v>
      </c>
      <c r="E75" s="265">
        <v>35</v>
      </c>
      <c r="F75" s="264">
        <v>0</v>
      </c>
      <c r="G75" s="265">
        <v>0</v>
      </c>
      <c r="H75" s="265">
        <v>0</v>
      </c>
      <c r="I75" s="265">
        <v>0</v>
      </c>
      <c r="J75" s="265">
        <v>40</v>
      </c>
      <c r="K75" s="264"/>
      <c r="L75" s="285">
        <f>D75*E75+F75*G75+SUM(H75:J75)</f>
        <v>2000</v>
      </c>
      <c r="M75" s="265">
        <v>0</v>
      </c>
      <c r="N75" s="285">
        <f>L75-M75</f>
        <v>2000</v>
      </c>
    </row>
    <row r="76" spans="2:14" x14ac:dyDescent="0.25">
      <c r="B76" s="318" t="s">
        <v>341</v>
      </c>
      <c r="C76" s="319" t="s">
        <v>342</v>
      </c>
      <c r="D76" s="264">
        <v>84</v>
      </c>
      <c r="E76" s="265">
        <v>55</v>
      </c>
      <c r="F76" s="264">
        <v>0</v>
      </c>
      <c r="G76" s="265">
        <v>0</v>
      </c>
      <c r="H76" s="265">
        <v>0</v>
      </c>
      <c r="I76" s="265">
        <v>0</v>
      </c>
      <c r="J76" s="265">
        <v>380</v>
      </c>
      <c r="K76" s="264"/>
      <c r="L76" s="285">
        <f t="shared" ref="L76:L78" si="41">D76*E76+F76*G76+SUM(H76:J76)</f>
        <v>5000</v>
      </c>
      <c r="M76" s="265">
        <v>0</v>
      </c>
      <c r="N76" s="285">
        <f t="shared" ref="N76:N78" si="42">L76-M76</f>
        <v>5000</v>
      </c>
    </row>
    <row r="77" spans="2:14" x14ac:dyDescent="0.25">
      <c r="B77" s="320" t="s">
        <v>343</v>
      </c>
      <c r="C77" t="s">
        <v>344</v>
      </c>
      <c r="D77" s="264">
        <v>140</v>
      </c>
      <c r="E77" s="265">
        <v>70</v>
      </c>
      <c r="F77" s="264">
        <v>0</v>
      </c>
      <c r="G77" s="265">
        <v>0</v>
      </c>
      <c r="H77" s="265">
        <v>100</v>
      </c>
      <c r="I77" s="265">
        <v>0</v>
      </c>
      <c r="J77" s="265">
        <v>100</v>
      </c>
      <c r="K77" s="264"/>
      <c r="L77" s="285">
        <f t="shared" si="41"/>
        <v>10000</v>
      </c>
      <c r="M77" s="265">
        <v>0</v>
      </c>
      <c r="N77" s="285">
        <f t="shared" si="42"/>
        <v>10000</v>
      </c>
    </row>
    <row r="78" spans="2:14" x14ac:dyDescent="0.25">
      <c r="B78" s="318" t="s">
        <v>346</v>
      </c>
      <c r="C78" s="319" t="s">
        <v>347</v>
      </c>
      <c r="D78" s="264">
        <v>56</v>
      </c>
      <c r="E78" s="265">
        <v>50</v>
      </c>
      <c r="F78" s="264">
        <v>0</v>
      </c>
      <c r="G78" s="265">
        <v>0</v>
      </c>
      <c r="H78" s="265">
        <v>0</v>
      </c>
      <c r="I78" s="265">
        <v>0</v>
      </c>
      <c r="J78" s="265">
        <v>200</v>
      </c>
      <c r="K78" s="264"/>
      <c r="L78" s="285">
        <f t="shared" si="41"/>
        <v>3000</v>
      </c>
      <c r="M78" s="265">
        <v>0</v>
      </c>
      <c r="N78" s="285">
        <f t="shared" si="42"/>
        <v>3000</v>
      </c>
    </row>
    <row r="79" spans="2:14" x14ac:dyDescent="0.25">
      <c r="D79" s="264"/>
      <c r="E79" s="265"/>
      <c r="F79" s="264" t="s">
        <v>506</v>
      </c>
      <c r="G79" s="265"/>
      <c r="H79" s="265"/>
      <c r="I79" s="265"/>
      <c r="J79" s="265"/>
      <c r="L79" s="327"/>
      <c r="M79" s="265"/>
      <c r="N79" s="327"/>
    </row>
    <row r="139" spans="1:17" x14ac:dyDescent="0.25">
      <c r="A139" s="333"/>
      <c r="B139" s="218"/>
      <c r="C139" s="333"/>
      <c r="D139" s="333"/>
      <c r="E139" s="333"/>
      <c r="F139" s="333"/>
      <c r="G139" s="333"/>
      <c r="H139" s="333"/>
      <c r="I139" s="333"/>
      <c r="J139" s="333"/>
      <c r="K139" s="333"/>
      <c r="L139" s="333"/>
      <c r="M139" s="333"/>
      <c r="N139" s="333"/>
      <c r="O139" s="333"/>
      <c r="P139" s="333"/>
      <c r="Q139" s="333"/>
    </row>
    <row r="140" spans="1:17" x14ac:dyDescent="0.25">
      <c r="A140" s="333"/>
      <c r="B140" s="334"/>
      <c r="C140" s="334"/>
      <c r="D140" s="335"/>
      <c r="E140" s="335"/>
      <c r="F140" s="335"/>
      <c r="G140" s="335"/>
      <c r="H140" s="335"/>
      <c r="I140" s="335"/>
      <c r="J140" s="335"/>
      <c r="K140" s="335"/>
      <c r="L140" s="335"/>
      <c r="M140" s="335"/>
      <c r="N140" s="335"/>
      <c r="O140" s="333"/>
      <c r="P140" s="333"/>
      <c r="Q140" s="333"/>
    </row>
    <row r="141" spans="1:17" x14ac:dyDescent="0.25">
      <c r="A141" s="333"/>
      <c r="B141" s="335"/>
      <c r="C141" s="335"/>
      <c r="D141" s="335"/>
      <c r="E141" s="335"/>
      <c r="F141" s="335"/>
      <c r="G141" s="335"/>
      <c r="H141" s="335"/>
      <c r="I141" s="335"/>
      <c r="J141" s="335"/>
      <c r="K141" s="335"/>
      <c r="L141" s="335"/>
      <c r="M141" s="335"/>
      <c r="N141" s="335"/>
      <c r="O141" s="333"/>
      <c r="P141" s="333"/>
      <c r="Q141" s="333"/>
    </row>
    <row r="142" spans="1:17" x14ac:dyDescent="0.25">
      <c r="A142" s="333"/>
      <c r="B142" s="336"/>
      <c r="C142" s="336"/>
      <c r="D142" s="336"/>
      <c r="E142" s="336"/>
      <c r="F142" s="336"/>
      <c r="G142" s="336"/>
      <c r="H142" s="336"/>
      <c r="I142" s="336"/>
      <c r="J142" s="336"/>
      <c r="K142" s="336"/>
      <c r="L142" s="336"/>
      <c r="M142" s="336"/>
      <c r="N142" s="336"/>
      <c r="O142" s="333"/>
      <c r="P142" s="333"/>
      <c r="Q142" s="333"/>
    </row>
    <row r="143" spans="1:17" x14ac:dyDescent="0.25">
      <c r="A143" s="333"/>
      <c r="B143" s="337"/>
      <c r="C143" s="338"/>
      <c r="D143" s="336"/>
      <c r="E143" s="336"/>
      <c r="F143" s="336"/>
      <c r="G143" s="336"/>
      <c r="H143" s="336"/>
      <c r="I143" s="336"/>
      <c r="J143" s="336"/>
      <c r="K143" s="336"/>
      <c r="L143" s="339"/>
      <c r="M143" s="339"/>
      <c r="N143" s="339"/>
      <c r="O143" s="333"/>
      <c r="P143" s="333"/>
      <c r="Q143" s="333"/>
    </row>
    <row r="144" spans="1:17" x14ac:dyDescent="0.25">
      <c r="A144" s="333"/>
      <c r="B144" s="336"/>
      <c r="C144" s="340"/>
      <c r="D144" s="340"/>
      <c r="E144" s="340"/>
      <c r="F144" s="340"/>
      <c r="G144" s="340"/>
      <c r="H144" s="340"/>
      <c r="I144" s="340"/>
      <c r="J144" s="340"/>
      <c r="K144" s="340"/>
      <c r="L144" s="336"/>
      <c r="M144" s="340"/>
      <c r="N144" s="336"/>
      <c r="O144" s="333"/>
      <c r="P144" s="333"/>
      <c r="Q144" s="333"/>
    </row>
    <row r="145" spans="1:17" x14ac:dyDescent="0.25">
      <c r="A145" s="333"/>
      <c r="B145" s="336"/>
      <c r="C145" s="340"/>
      <c r="D145" s="340"/>
      <c r="E145" s="340"/>
      <c r="F145" s="340"/>
      <c r="G145" s="340"/>
      <c r="H145" s="340"/>
      <c r="I145" s="340"/>
      <c r="J145" s="340"/>
      <c r="K145" s="340"/>
      <c r="L145" s="336"/>
      <c r="M145" s="340"/>
      <c r="N145" s="336"/>
      <c r="O145" s="333"/>
      <c r="P145" s="333"/>
      <c r="Q145" s="333"/>
    </row>
    <row r="146" spans="1:17" x14ac:dyDescent="0.25">
      <c r="A146" s="333"/>
      <c r="B146" s="336"/>
      <c r="C146" s="340"/>
      <c r="D146" s="340"/>
      <c r="E146" s="340"/>
      <c r="F146" s="340"/>
      <c r="G146" s="340"/>
      <c r="H146" s="340"/>
      <c r="I146" s="340"/>
      <c r="J146" s="340"/>
      <c r="K146" s="340"/>
      <c r="L146" s="336"/>
      <c r="M146" s="340"/>
      <c r="N146" s="336"/>
      <c r="O146" s="333"/>
      <c r="P146" s="333"/>
      <c r="Q146" s="333"/>
    </row>
    <row r="147" spans="1:17" x14ac:dyDescent="0.25">
      <c r="A147" s="333"/>
      <c r="B147" s="336"/>
      <c r="C147" s="340"/>
      <c r="D147" s="340"/>
      <c r="E147" s="340"/>
      <c r="F147" s="340"/>
      <c r="G147" s="340"/>
      <c r="H147" s="340"/>
      <c r="I147" s="340"/>
      <c r="J147" s="340"/>
      <c r="K147" s="340"/>
      <c r="L147" s="336"/>
      <c r="M147" s="340"/>
      <c r="N147" s="336"/>
      <c r="O147" s="333"/>
      <c r="P147" s="333"/>
      <c r="Q147" s="333"/>
    </row>
    <row r="148" spans="1:17" x14ac:dyDescent="0.25">
      <c r="A148" s="333"/>
      <c r="B148" s="336"/>
      <c r="C148" s="336"/>
      <c r="D148" s="336"/>
      <c r="E148" s="336"/>
      <c r="F148" s="336"/>
      <c r="G148" s="336"/>
      <c r="H148" s="336"/>
      <c r="I148" s="336"/>
      <c r="J148" s="336"/>
      <c r="K148" s="336"/>
      <c r="L148" s="336"/>
      <c r="M148" s="336"/>
      <c r="N148" s="336"/>
      <c r="O148" s="333"/>
      <c r="P148" s="333"/>
      <c r="Q148" s="333"/>
    </row>
    <row r="149" spans="1:17" x14ac:dyDescent="0.25">
      <c r="A149" s="333"/>
      <c r="B149" s="218"/>
      <c r="C149" s="333"/>
      <c r="D149" s="333"/>
      <c r="E149" s="333"/>
      <c r="F149" s="333"/>
      <c r="G149" s="333"/>
      <c r="H149" s="333"/>
      <c r="I149" s="333"/>
      <c r="J149" s="333"/>
      <c r="K149" s="333"/>
      <c r="L149" s="333"/>
      <c r="M149" s="333"/>
      <c r="N149" s="333"/>
      <c r="O149" s="333"/>
      <c r="P149" s="333"/>
      <c r="Q149" s="333"/>
    </row>
    <row r="150" spans="1:17" x14ac:dyDescent="0.25">
      <c r="A150" s="333"/>
      <c r="B150" s="218"/>
      <c r="C150" s="333"/>
      <c r="D150" s="333"/>
      <c r="E150" s="333"/>
      <c r="F150" s="333"/>
      <c r="G150" s="333"/>
      <c r="H150" s="333"/>
      <c r="I150" s="333"/>
      <c r="J150" s="333"/>
      <c r="K150" s="333"/>
      <c r="L150" s="333"/>
      <c r="M150" s="333"/>
      <c r="N150" s="333"/>
      <c r="O150" s="333"/>
      <c r="P150" s="333"/>
      <c r="Q150" s="333"/>
    </row>
    <row r="151" spans="1:17" x14ac:dyDescent="0.25">
      <c r="A151" s="341"/>
      <c r="B151" s="342"/>
      <c r="C151" s="342"/>
      <c r="D151" s="342"/>
      <c r="E151" s="342"/>
      <c r="F151" s="342"/>
      <c r="G151" s="342"/>
      <c r="H151" s="333"/>
      <c r="I151" s="333"/>
      <c r="J151" s="333"/>
      <c r="K151" s="333"/>
      <c r="L151" s="333"/>
      <c r="M151" s="333"/>
      <c r="N151" s="333"/>
      <c r="O151" s="333"/>
      <c r="P151" s="333"/>
      <c r="Q151" s="333"/>
    </row>
    <row r="152" spans="1:17" x14ac:dyDescent="0.25">
      <c r="A152" s="341"/>
      <c r="B152" s="342"/>
      <c r="C152" s="343"/>
      <c r="D152" s="342"/>
      <c r="E152" s="342"/>
      <c r="F152" s="342"/>
      <c r="G152" s="342"/>
      <c r="H152" s="333"/>
      <c r="I152" s="333"/>
      <c r="J152" s="333"/>
      <c r="K152" s="333"/>
      <c r="L152" s="333"/>
      <c r="M152" s="333"/>
      <c r="N152" s="333"/>
      <c r="O152" s="333"/>
      <c r="P152" s="333"/>
      <c r="Q152" s="333"/>
    </row>
    <row r="153" spans="1:17" x14ac:dyDescent="0.25">
      <c r="A153" s="341"/>
      <c r="B153" s="342"/>
      <c r="C153" s="343"/>
      <c r="D153" s="342"/>
      <c r="E153" s="342"/>
      <c r="F153" s="342"/>
      <c r="G153" s="342"/>
      <c r="H153" s="333"/>
      <c r="I153" s="333"/>
      <c r="J153" s="333"/>
      <c r="K153" s="333"/>
      <c r="L153" s="333"/>
      <c r="M153" s="333"/>
      <c r="N153" s="333"/>
      <c r="O153" s="333"/>
      <c r="P153" s="333"/>
      <c r="Q153" s="333"/>
    </row>
    <row r="154" spans="1:17" x14ac:dyDescent="0.25">
      <c r="A154" s="341"/>
      <c r="B154" s="342"/>
      <c r="C154" s="343"/>
      <c r="D154" s="342"/>
      <c r="E154" s="342"/>
      <c r="F154" s="342"/>
      <c r="G154" s="342"/>
      <c r="H154" s="333"/>
      <c r="I154" s="333"/>
      <c r="J154" s="333"/>
      <c r="K154" s="333"/>
      <c r="L154" s="333"/>
      <c r="M154" s="333"/>
      <c r="N154" s="333"/>
      <c r="O154" s="333"/>
      <c r="P154" s="333"/>
      <c r="Q154" s="333"/>
    </row>
    <row r="155" spans="1:17" x14ac:dyDescent="0.25">
      <c r="A155" s="341"/>
      <c r="B155" s="342"/>
      <c r="C155" s="343"/>
      <c r="D155" s="342"/>
      <c r="E155" s="342"/>
      <c r="F155" s="342"/>
      <c r="G155" s="342"/>
      <c r="H155" s="333"/>
      <c r="I155" s="333"/>
      <c r="J155" s="333"/>
      <c r="K155" s="333"/>
      <c r="L155" s="333"/>
      <c r="M155" s="333"/>
      <c r="N155" s="333"/>
      <c r="O155" s="333"/>
      <c r="P155" s="333"/>
      <c r="Q155" s="333"/>
    </row>
    <row r="156" spans="1:17" x14ac:dyDescent="0.25">
      <c r="A156" s="341"/>
      <c r="B156" s="342"/>
      <c r="C156" s="343"/>
      <c r="D156" s="342"/>
      <c r="E156" s="342"/>
      <c r="F156" s="342"/>
      <c r="G156" s="342"/>
      <c r="H156" s="333"/>
      <c r="I156" s="333"/>
      <c r="J156" s="333"/>
      <c r="K156" s="333"/>
      <c r="L156" s="333"/>
      <c r="M156" s="333"/>
      <c r="N156" s="333"/>
      <c r="O156" s="333"/>
      <c r="P156" s="333"/>
      <c r="Q156" s="333"/>
    </row>
    <row r="157" spans="1:17" x14ac:dyDescent="0.25">
      <c r="A157" s="341"/>
      <c r="B157" s="342"/>
      <c r="C157" s="343"/>
      <c r="D157" s="342"/>
      <c r="E157" s="342"/>
      <c r="F157" s="342"/>
      <c r="G157" s="342"/>
      <c r="H157" s="333"/>
      <c r="I157" s="333"/>
      <c r="J157" s="333"/>
      <c r="K157" s="333"/>
      <c r="L157" s="333"/>
      <c r="M157" s="333"/>
      <c r="N157" s="333"/>
      <c r="O157" s="333"/>
      <c r="P157" s="333"/>
      <c r="Q157" s="333"/>
    </row>
    <row r="158" spans="1:17" x14ac:dyDescent="0.25">
      <c r="A158" s="341"/>
      <c r="B158" s="342"/>
      <c r="C158" s="343"/>
      <c r="D158" s="342"/>
      <c r="E158" s="342"/>
      <c r="F158" s="342"/>
      <c r="G158" s="342"/>
      <c r="H158" s="333"/>
      <c r="I158" s="333"/>
      <c r="J158" s="333"/>
      <c r="K158" s="333"/>
      <c r="L158" s="333"/>
      <c r="M158" s="333"/>
      <c r="N158" s="333"/>
      <c r="O158" s="333"/>
      <c r="P158" s="333"/>
      <c r="Q158" s="333"/>
    </row>
    <row r="159" spans="1:17" x14ac:dyDescent="0.25">
      <c r="A159" s="341"/>
      <c r="B159" s="342"/>
      <c r="C159" s="343"/>
      <c r="D159" s="342"/>
      <c r="E159" s="342"/>
      <c r="F159" s="342"/>
      <c r="G159" s="342"/>
      <c r="H159" s="333"/>
      <c r="I159" s="333"/>
      <c r="J159" s="333"/>
      <c r="K159" s="333"/>
      <c r="L159" s="333"/>
      <c r="M159" s="333"/>
      <c r="N159" s="333"/>
      <c r="O159" s="333"/>
      <c r="P159" s="333"/>
      <c r="Q159" s="333"/>
    </row>
    <row r="160" spans="1:17" x14ac:dyDescent="0.25">
      <c r="A160" s="341"/>
      <c r="B160" s="342"/>
      <c r="C160" s="343"/>
      <c r="D160" s="342"/>
      <c r="E160" s="342"/>
      <c r="F160" s="342"/>
      <c r="G160" s="342"/>
      <c r="H160" s="333"/>
      <c r="I160" s="333"/>
      <c r="J160" s="333"/>
      <c r="K160" s="333"/>
      <c r="L160" s="333"/>
      <c r="M160" s="333"/>
      <c r="N160" s="333"/>
      <c r="O160" s="333"/>
      <c r="P160" s="333"/>
      <c r="Q160" s="333"/>
    </row>
    <row r="161" spans="1:17" x14ac:dyDescent="0.25">
      <c r="A161" s="341"/>
      <c r="B161" s="342"/>
      <c r="C161" s="343"/>
      <c r="D161" s="342"/>
      <c r="E161" s="342"/>
      <c r="F161" s="342"/>
      <c r="G161" s="342"/>
      <c r="H161" s="333"/>
      <c r="I161" s="333"/>
      <c r="J161" s="333"/>
      <c r="K161" s="333"/>
      <c r="L161" s="333"/>
      <c r="M161" s="333"/>
      <c r="N161" s="333"/>
      <c r="O161" s="333"/>
      <c r="P161" s="333"/>
      <c r="Q161" s="333"/>
    </row>
    <row r="162" spans="1:17" x14ac:dyDescent="0.25">
      <c r="A162" s="341"/>
      <c r="B162" s="342"/>
      <c r="C162" s="343"/>
      <c r="D162" s="342"/>
      <c r="E162" s="342"/>
      <c r="F162" s="342"/>
      <c r="G162" s="342"/>
      <c r="H162" s="333"/>
      <c r="I162" s="333"/>
      <c r="J162" s="333"/>
      <c r="K162" s="333"/>
      <c r="L162" s="333"/>
      <c r="M162" s="333"/>
      <c r="N162" s="333"/>
      <c r="O162" s="333"/>
      <c r="P162" s="333"/>
      <c r="Q162" s="333"/>
    </row>
    <row r="163" spans="1:17" x14ac:dyDescent="0.25">
      <c r="A163" s="341"/>
      <c r="B163" s="342"/>
      <c r="C163" s="343"/>
      <c r="D163" s="342"/>
      <c r="E163" s="342"/>
      <c r="F163" s="342"/>
      <c r="G163" s="342"/>
      <c r="H163" s="333"/>
      <c r="I163" s="333"/>
      <c r="J163" s="333"/>
      <c r="K163" s="333"/>
      <c r="L163" s="333"/>
      <c r="M163" s="333"/>
      <c r="N163" s="333"/>
      <c r="O163" s="333"/>
      <c r="P163" s="333"/>
      <c r="Q163" s="333"/>
    </row>
    <row r="164" spans="1:17" x14ac:dyDescent="0.25">
      <c r="A164" s="341"/>
      <c r="B164" s="342"/>
      <c r="C164" s="343"/>
      <c r="D164" s="342"/>
      <c r="E164" s="342"/>
      <c r="F164" s="342"/>
      <c r="G164" s="342"/>
      <c r="H164" s="333"/>
      <c r="I164" s="333"/>
      <c r="J164" s="333"/>
      <c r="K164" s="333"/>
      <c r="L164" s="333"/>
      <c r="M164" s="333"/>
      <c r="N164" s="333"/>
      <c r="O164" s="333"/>
      <c r="P164" s="333"/>
      <c r="Q164" s="333"/>
    </row>
    <row r="165" spans="1:17" x14ac:dyDescent="0.25">
      <c r="A165" s="341"/>
      <c r="B165" s="342"/>
      <c r="C165" s="343"/>
      <c r="D165" s="342"/>
      <c r="E165" s="342"/>
      <c r="F165" s="342"/>
      <c r="G165" s="342"/>
      <c r="H165" s="333"/>
      <c r="I165" s="333"/>
      <c r="J165" s="333"/>
      <c r="K165" s="333"/>
      <c r="L165" s="333"/>
      <c r="M165" s="333"/>
      <c r="N165" s="333"/>
      <c r="O165" s="333"/>
      <c r="P165" s="333"/>
      <c r="Q165" s="333"/>
    </row>
    <row r="166" spans="1:17" x14ac:dyDescent="0.25">
      <c r="A166" s="341"/>
      <c r="B166" s="342"/>
      <c r="C166" s="343"/>
      <c r="D166" s="342"/>
      <c r="E166" s="342"/>
      <c r="F166" s="342"/>
      <c r="G166" s="342"/>
      <c r="H166" s="333"/>
      <c r="I166" s="333"/>
      <c r="J166" s="333"/>
      <c r="K166" s="333"/>
      <c r="L166" s="333"/>
      <c r="M166" s="333"/>
      <c r="N166" s="333"/>
      <c r="O166" s="333"/>
      <c r="P166" s="333"/>
      <c r="Q166" s="333"/>
    </row>
    <row r="167" spans="1:17" x14ac:dyDescent="0.25">
      <c r="A167" s="341"/>
      <c r="B167" s="342"/>
      <c r="C167" s="343"/>
      <c r="D167" s="342"/>
      <c r="E167" s="342"/>
      <c r="F167" s="342"/>
      <c r="G167" s="342"/>
      <c r="H167" s="333"/>
      <c r="I167" s="333"/>
      <c r="J167" s="333"/>
      <c r="K167" s="333"/>
      <c r="L167" s="333"/>
      <c r="M167" s="333"/>
      <c r="N167" s="333"/>
      <c r="O167" s="333"/>
      <c r="P167" s="333"/>
      <c r="Q167" s="333"/>
    </row>
    <row r="168" spans="1:17" x14ac:dyDescent="0.25">
      <c r="A168" s="341"/>
      <c r="B168" s="342"/>
      <c r="C168" s="343"/>
      <c r="D168" s="342"/>
      <c r="E168" s="342"/>
      <c r="F168" s="342"/>
      <c r="G168" s="342"/>
      <c r="H168" s="333"/>
      <c r="I168" s="333"/>
      <c r="J168" s="333"/>
      <c r="K168" s="333"/>
      <c r="L168" s="333"/>
      <c r="M168" s="333"/>
      <c r="N168" s="333"/>
      <c r="O168" s="333"/>
      <c r="P168" s="333"/>
      <c r="Q168" s="333"/>
    </row>
    <row r="169" spans="1:17" x14ac:dyDescent="0.25">
      <c r="A169" s="341"/>
      <c r="B169" s="342"/>
      <c r="C169" s="343"/>
      <c r="D169" s="342"/>
      <c r="E169" s="342"/>
      <c r="F169" s="342"/>
      <c r="G169" s="342"/>
      <c r="H169" s="333"/>
      <c r="I169" s="333"/>
      <c r="J169" s="333"/>
      <c r="K169" s="333"/>
      <c r="L169" s="333"/>
      <c r="M169" s="333"/>
      <c r="N169" s="333"/>
      <c r="O169" s="333"/>
      <c r="P169" s="333"/>
      <c r="Q169" s="333"/>
    </row>
    <row r="170" spans="1:17" x14ac:dyDescent="0.25">
      <c r="A170" s="341"/>
      <c r="B170" s="342"/>
      <c r="C170" s="343"/>
      <c r="D170" s="342"/>
      <c r="E170" s="342"/>
      <c r="F170" s="342"/>
      <c r="G170" s="342"/>
      <c r="H170" s="333"/>
      <c r="I170" s="333"/>
      <c r="J170" s="333"/>
      <c r="K170" s="333"/>
      <c r="L170" s="333"/>
      <c r="M170" s="333"/>
      <c r="N170" s="333"/>
      <c r="O170" s="333"/>
      <c r="P170" s="333"/>
      <c r="Q170" s="333"/>
    </row>
    <row r="171" spans="1:17" x14ac:dyDescent="0.25">
      <c r="A171" s="341"/>
      <c r="B171" s="342"/>
      <c r="C171" s="343"/>
      <c r="D171" s="342"/>
      <c r="E171" s="342"/>
      <c r="F171" s="342"/>
      <c r="G171" s="342"/>
      <c r="H171" s="333"/>
      <c r="I171" s="333"/>
      <c r="J171" s="333"/>
      <c r="K171" s="333"/>
      <c r="L171" s="333"/>
      <c r="M171" s="333"/>
      <c r="N171" s="333"/>
      <c r="O171" s="333"/>
      <c r="P171" s="333"/>
      <c r="Q171" s="333"/>
    </row>
    <row r="172" spans="1:17" x14ac:dyDescent="0.25">
      <c r="A172" s="341"/>
      <c r="B172" s="342"/>
      <c r="C172" s="343"/>
      <c r="D172" s="342"/>
      <c r="E172" s="342"/>
      <c r="F172" s="342"/>
      <c r="G172" s="342"/>
      <c r="H172" s="333"/>
      <c r="I172" s="333"/>
      <c r="J172" s="333"/>
      <c r="K172" s="333"/>
      <c r="L172" s="333"/>
      <c r="M172" s="333"/>
      <c r="N172" s="333"/>
      <c r="O172" s="333"/>
      <c r="P172" s="333"/>
      <c r="Q172" s="333"/>
    </row>
    <row r="173" spans="1:17" x14ac:dyDescent="0.25">
      <c r="A173" s="341"/>
      <c r="B173" s="342"/>
      <c r="C173" s="343"/>
      <c r="D173" s="342"/>
      <c r="E173" s="342"/>
      <c r="F173" s="342"/>
      <c r="G173" s="342"/>
      <c r="H173" s="333"/>
      <c r="I173" s="333"/>
      <c r="J173" s="333"/>
      <c r="K173" s="333"/>
      <c r="L173" s="333"/>
      <c r="M173" s="333"/>
      <c r="N173" s="333"/>
      <c r="O173" s="333"/>
      <c r="P173" s="333"/>
      <c r="Q173" s="333"/>
    </row>
    <row r="174" spans="1:17" x14ac:dyDescent="0.25">
      <c r="A174" s="341"/>
      <c r="B174" s="342"/>
      <c r="C174" s="343"/>
      <c r="D174" s="342"/>
      <c r="E174" s="342"/>
      <c r="F174" s="342"/>
      <c r="G174" s="342"/>
      <c r="H174" s="333"/>
      <c r="I174" s="333"/>
      <c r="J174" s="333"/>
      <c r="K174" s="333"/>
      <c r="L174" s="333"/>
      <c r="M174" s="333"/>
      <c r="N174" s="333"/>
      <c r="O174" s="333"/>
      <c r="P174" s="333"/>
      <c r="Q174" s="333"/>
    </row>
    <row r="175" spans="1:17" x14ac:dyDescent="0.25">
      <c r="A175" s="341"/>
      <c r="B175" s="342"/>
      <c r="C175" s="343"/>
      <c r="D175" s="342"/>
      <c r="E175" s="342"/>
      <c r="F175" s="342"/>
      <c r="G175" s="342"/>
      <c r="H175" s="333"/>
      <c r="I175" s="333"/>
      <c r="J175" s="333"/>
      <c r="K175" s="333"/>
      <c r="L175" s="333"/>
      <c r="M175" s="333"/>
      <c r="N175" s="333"/>
      <c r="O175" s="333"/>
      <c r="P175" s="333"/>
      <c r="Q175" s="333"/>
    </row>
    <row r="176" spans="1:17" x14ac:dyDescent="0.25">
      <c r="A176" s="341"/>
      <c r="B176" s="342"/>
      <c r="C176" s="343"/>
      <c r="D176" s="342"/>
      <c r="E176" s="342"/>
      <c r="F176" s="342"/>
      <c r="G176" s="342"/>
      <c r="H176" s="333"/>
      <c r="I176" s="333"/>
      <c r="J176" s="333"/>
      <c r="K176" s="333"/>
      <c r="L176" s="333"/>
      <c r="M176" s="333"/>
      <c r="N176" s="333"/>
      <c r="O176" s="333"/>
      <c r="P176" s="333"/>
      <c r="Q176" s="333"/>
    </row>
    <row r="177" spans="1:17" x14ac:dyDescent="0.25">
      <c r="A177" s="341"/>
      <c r="B177" s="342"/>
      <c r="C177" s="343"/>
      <c r="D177" s="342"/>
      <c r="E177" s="342"/>
      <c r="F177" s="342"/>
      <c r="G177" s="342"/>
      <c r="H177" s="333"/>
      <c r="I177" s="333"/>
      <c r="J177" s="333"/>
      <c r="K177" s="333"/>
      <c r="L177" s="333"/>
      <c r="M177" s="333"/>
      <c r="N177" s="333"/>
      <c r="O177" s="333"/>
      <c r="P177" s="333"/>
      <c r="Q177" s="333"/>
    </row>
    <row r="178" spans="1:17" x14ac:dyDescent="0.25">
      <c r="A178" s="341"/>
      <c r="B178" s="342"/>
      <c r="C178" s="343"/>
      <c r="D178" s="342"/>
      <c r="E178" s="342"/>
      <c r="F178" s="342"/>
      <c r="G178" s="342"/>
      <c r="H178" s="333"/>
      <c r="I178" s="333"/>
      <c r="J178" s="333"/>
      <c r="K178" s="333"/>
      <c r="L178" s="333"/>
      <c r="M178" s="333"/>
      <c r="N178" s="333"/>
      <c r="O178" s="333"/>
      <c r="P178" s="333"/>
      <c r="Q178" s="333"/>
    </row>
    <row r="179" spans="1:17" x14ac:dyDescent="0.25">
      <c r="A179" s="341"/>
      <c r="B179" s="342"/>
      <c r="C179" s="343"/>
      <c r="D179" s="342"/>
      <c r="E179" s="342"/>
      <c r="F179" s="342"/>
      <c r="G179" s="342"/>
      <c r="H179" s="333"/>
      <c r="I179" s="333"/>
      <c r="J179" s="333"/>
      <c r="K179" s="333"/>
      <c r="L179" s="333"/>
      <c r="M179" s="333"/>
      <c r="N179" s="333"/>
      <c r="O179" s="333"/>
      <c r="P179" s="333"/>
      <c r="Q179" s="333"/>
    </row>
    <row r="180" spans="1:17" x14ac:dyDescent="0.25">
      <c r="A180" s="341"/>
      <c r="B180" s="342"/>
      <c r="C180" s="343"/>
      <c r="D180" s="342"/>
      <c r="E180" s="342"/>
      <c r="F180" s="342"/>
      <c r="G180" s="342"/>
      <c r="H180" s="333"/>
      <c r="I180" s="333"/>
      <c r="J180" s="333"/>
      <c r="K180" s="333"/>
      <c r="L180" s="333"/>
      <c r="M180" s="333"/>
      <c r="N180" s="333"/>
      <c r="O180" s="333"/>
      <c r="P180" s="333"/>
      <c r="Q180" s="333"/>
    </row>
    <row r="181" spans="1:17" x14ac:dyDescent="0.25">
      <c r="A181" s="341"/>
      <c r="B181" s="342"/>
      <c r="C181" s="343"/>
      <c r="D181" s="342"/>
      <c r="E181" s="342"/>
      <c r="F181" s="342"/>
      <c r="G181" s="342"/>
      <c r="H181" s="333"/>
      <c r="I181" s="333"/>
      <c r="J181" s="333"/>
      <c r="K181" s="333"/>
      <c r="L181" s="333"/>
      <c r="M181" s="333"/>
      <c r="N181" s="333"/>
      <c r="O181" s="333"/>
      <c r="P181" s="333"/>
      <c r="Q181" s="333"/>
    </row>
    <row r="182" spans="1:17" x14ac:dyDescent="0.25">
      <c r="A182" s="341"/>
      <c r="B182" s="342"/>
      <c r="C182" s="343"/>
      <c r="D182" s="342"/>
      <c r="E182" s="342"/>
      <c r="F182" s="342"/>
      <c r="G182" s="342"/>
      <c r="H182" s="333"/>
      <c r="I182" s="333"/>
      <c r="J182" s="333"/>
      <c r="K182" s="333"/>
      <c r="L182" s="333"/>
      <c r="M182" s="333"/>
      <c r="N182" s="333"/>
      <c r="O182" s="333"/>
      <c r="P182" s="333"/>
      <c r="Q182" s="333"/>
    </row>
    <row r="183" spans="1:17" x14ac:dyDescent="0.25">
      <c r="A183" s="341"/>
      <c r="B183" s="342"/>
      <c r="C183" s="343"/>
      <c r="D183" s="342"/>
      <c r="E183" s="342"/>
      <c r="F183" s="342"/>
      <c r="G183" s="342"/>
      <c r="H183" s="333"/>
      <c r="I183" s="333"/>
      <c r="J183" s="333"/>
      <c r="K183" s="333"/>
      <c r="L183" s="333"/>
      <c r="M183" s="333"/>
      <c r="N183" s="333"/>
      <c r="O183" s="333"/>
      <c r="P183" s="333"/>
      <c r="Q183" s="333"/>
    </row>
    <row r="184" spans="1:17" x14ac:dyDescent="0.25">
      <c r="A184" s="341"/>
      <c r="B184" s="342"/>
      <c r="C184" s="343"/>
      <c r="D184" s="342"/>
      <c r="E184" s="342"/>
      <c r="F184" s="342"/>
      <c r="G184" s="342"/>
      <c r="H184" s="333"/>
      <c r="I184" s="333"/>
      <c r="J184" s="333"/>
      <c r="K184" s="333"/>
      <c r="L184" s="333"/>
      <c r="M184" s="333"/>
      <c r="N184" s="333"/>
      <c r="O184" s="333"/>
      <c r="P184" s="333"/>
      <c r="Q184" s="333"/>
    </row>
    <row r="185" spans="1:17" x14ac:dyDescent="0.25">
      <c r="A185" s="341"/>
      <c r="B185" s="342"/>
      <c r="C185" s="343"/>
      <c r="D185" s="342"/>
      <c r="E185" s="342"/>
      <c r="F185" s="342"/>
      <c r="G185" s="342"/>
      <c r="H185" s="333"/>
      <c r="I185" s="333"/>
      <c r="J185" s="333"/>
      <c r="K185" s="333"/>
      <c r="L185" s="333"/>
      <c r="M185" s="333"/>
      <c r="N185" s="333"/>
      <c r="O185" s="333"/>
      <c r="P185" s="333"/>
      <c r="Q185" s="333"/>
    </row>
    <row r="186" spans="1:17" x14ac:dyDescent="0.25">
      <c r="A186" s="341"/>
      <c r="B186" s="342"/>
      <c r="C186" s="343"/>
      <c r="D186" s="342"/>
      <c r="E186" s="342"/>
      <c r="F186" s="342"/>
      <c r="G186" s="342"/>
      <c r="H186" s="333"/>
      <c r="I186" s="333"/>
      <c r="J186" s="333"/>
      <c r="K186" s="333"/>
      <c r="L186" s="333"/>
      <c r="M186" s="333"/>
      <c r="N186" s="333"/>
      <c r="O186" s="333"/>
      <c r="P186" s="333"/>
      <c r="Q186" s="333"/>
    </row>
    <row r="187" spans="1:17" x14ac:dyDescent="0.25">
      <c r="A187" s="341"/>
      <c r="B187" s="342"/>
      <c r="C187" s="343"/>
      <c r="D187" s="342"/>
      <c r="E187" s="342"/>
      <c r="F187" s="342"/>
      <c r="G187" s="342"/>
      <c r="H187" s="333"/>
      <c r="I187" s="333"/>
      <c r="J187" s="333"/>
      <c r="K187" s="333"/>
      <c r="L187" s="333"/>
      <c r="M187" s="333"/>
      <c r="N187" s="333"/>
      <c r="O187" s="333"/>
      <c r="P187" s="333"/>
      <c r="Q187" s="333"/>
    </row>
    <row r="188" spans="1:17" x14ac:dyDescent="0.25">
      <c r="A188" s="341"/>
      <c r="B188" s="342"/>
      <c r="C188" s="343"/>
      <c r="D188" s="342"/>
      <c r="E188" s="342"/>
      <c r="F188" s="342"/>
      <c r="G188" s="342"/>
      <c r="H188" s="333"/>
      <c r="I188" s="333"/>
      <c r="J188" s="333"/>
      <c r="K188" s="333"/>
      <c r="L188" s="333"/>
      <c r="M188" s="333"/>
      <c r="N188" s="333"/>
      <c r="O188" s="333"/>
      <c r="P188" s="333"/>
      <c r="Q188" s="333"/>
    </row>
    <row r="189" spans="1:17" x14ac:dyDescent="0.25">
      <c r="A189" s="341"/>
      <c r="B189" s="342"/>
      <c r="C189" s="343"/>
      <c r="D189" s="342"/>
      <c r="E189" s="342"/>
      <c r="F189" s="342"/>
      <c r="G189" s="342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</row>
    <row r="190" spans="1:17" x14ac:dyDescent="0.25">
      <c r="A190" s="341"/>
      <c r="B190" s="342"/>
      <c r="C190" s="343"/>
      <c r="D190" s="342"/>
      <c r="E190" s="342"/>
      <c r="F190" s="342"/>
      <c r="G190" s="342"/>
      <c r="H190" s="333"/>
      <c r="I190" s="333"/>
      <c r="J190" s="333"/>
      <c r="K190" s="333"/>
      <c r="L190" s="333"/>
      <c r="M190" s="333"/>
      <c r="N190" s="333"/>
      <c r="O190" s="333"/>
      <c r="P190" s="333"/>
      <c r="Q190" s="333"/>
    </row>
    <row r="191" spans="1:17" x14ac:dyDescent="0.25">
      <c r="A191" s="341"/>
      <c r="B191" s="342"/>
      <c r="C191" s="343"/>
      <c r="D191" s="342"/>
      <c r="E191" s="342"/>
      <c r="F191" s="342"/>
      <c r="G191" s="342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</row>
    <row r="192" spans="1:17" x14ac:dyDescent="0.25">
      <c r="A192" s="341"/>
      <c r="B192" s="342"/>
      <c r="C192" s="343"/>
      <c r="D192" s="342"/>
      <c r="E192" s="342"/>
      <c r="F192" s="342"/>
      <c r="G192" s="342"/>
      <c r="H192" s="333"/>
      <c r="I192" s="333"/>
      <c r="J192" s="333"/>
      <c r="K192" s="333"/>
      <c r="L192" s="333"/>
      <c r="M192" s="333"/>
      <c r="N192" s="333"/>
      <c r="O192" s="333"/>
      <c r="P192" s="333"/>
      <c r="Q192" s="333"/>
    </row>
    <row r="193" spans="1:17" x14ac:dyDescent="0.25">
      <c r="A193" s="341"/>
      <c r="B193" s="342"/>
      <c r="C193" s="343"/>
      <c r="D193" s="342"/>
      <c r="E193" s="342"/>
      <c r="F193" s="342"/>
      <c r="G193" s="342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</row>
    <row r="194" spans="1:17" x14ac:dyDescent="0.25">
      <c r="A194" s="341"/>
      <c r="B194" s="342"/>
      <c r="C194" s="343"/>
      <c r="D194" s="342"/>
      <c r="E194" s="342"/>
      <c r="F194" s="342"/>
      <c r="G194" s="342"/>
      <c r="H194" s="333"/>
      <c r="I194" s="333"/>
      <c r="J194" s="333"/>
      <c r="K194" s="333"/>
      <c r="L194" s="333"/>
      <c r="M194" s="333"/>
      <c r="N194" s="333"/>
      <c r="O194" s="333"/>
      <c r="P194" s="333"/>
      <c r="Q194" s="333"/>
    </row>
    <row r="195" spans="1:17" x14ac:dyDescent="0.25">
      <c r="A195" s="333"/>
      <c r="B195" s="218"/>
      <c r="C195" s="333"/>
      <c r="D195" s="333"/>
      <c r="E195" s="333"/>
      <c r="F195" s="333"/>
      <c r="G195" s="333"/>
      <c r="H195" s="333"/>
      <c r="I195" s="333"/>
      <c r="J195" s="333"/>
      <c r="K195" s="333"/>
      <c r="L195" s="333"/>
      <c r="M195" s="333"/>
      <c r="N195" s="333"/>
      <c r="O195" s="333"/>
      <c r="P195" s="333"/>
      <c r="Q195" s="333"/>
    </row>
    <row r="196" spans="1:17" x14ac:dyDescent="0.25">
      <c r="A196" s="333"/>
      <c r="B196" s="218"/>
      <c r="C196" s="333"/>
      <c r="D196" s="333"/>
      <c r="E196" s="333"/>
      <c r="F196" s="333"/>
      <c r="G196" s="333"/>
      <c r="H196" s="333"/>
      <c r="I196" s="333"/>
      <c r="J196" s="333"/>
      <c r="K196" s="333"/>
      <c r="L196" s="333"/>
      <c r="M196" s="333"/>
      <c r="N196" s="333"/>
      <c r="O196" s="333"/>
      <c r="P196" s="333"/>
      <c r="Q196" s="333"/>
    </row>
  </sheetData>
  <mergeCells count="4">
    <mergeCell ref="F7:G7"/>
    <mergeCell ref="D7:E7"/>
    <mergeCell ref="H7:J7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Stakeholders</vt:lpstr>
      <vt:lpstr>WBS</vt:lpstr>
      <vt:lpstr>Gantt</vt:lpstr>
      <vt:lpstr>Milestones</vt:lpstr>
      <vt:lpstr>Risk Matrix</vt:lpstr>
      <vt:lpstr>Funds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 Asiadouskaya</dc:creator>
  <cp:keywords/>
  <dc:description/>
  <cp:lastModifiedBy>Hanna Asiadouskaya</cp:lastModifiedBy>
  <cp:revision/>
  <dcterms:created xsi:type="dcterms:W3CDTF">2024-12-09T21:19:56Z</dcterms:created>
  <dcterms:modified xsi:type="dcterms:W3CDTF">2026-01-31T01:42:25Z</dcterms:modified>
  <cp:category/>
  <cp:contentStatus/>
</cp:coreProperties>
</file>